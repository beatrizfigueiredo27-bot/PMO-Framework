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Milestones" sheetId="2" state="visible" r:id="rId4"/>
    <sheet name="Schedule" sheetId="3" state="visible" r:id="rId5"/>
    <sheet name="Lists" sheetId="4" state="hidden" r:id="rId6"/>
  </sheets>
  <definedNames>
    <definedName function="false" hidden="false" localSheetId="2" name="_xlnm.Print_Titles" vbProcedure="false">Schedule!$4:$4</definedName>
    <definedName function="false" hidden="true" localSheetId="2" name="_xlnm._FilterDatabase" vbProcedure="false">Schedule!$A$4:$O$64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<sst xmlns="http://schemas.openxmlformats.org/spreadsheetml/2006/main" count="230" uniqueCount="156">
  <si>
    <t xml:space="preserve">[ORGANIZATION NAME]</t>
  </si>
  <si>
    <t xml:space="preserve">07 — Master Schedule</t>
  </si>
  <si>
    <t xml:space="preserve">[Project Name]</t>
  </si>
  <si>
    <t xml:space="preserve">DOCUMENT CONTROL</t>
  </si>
  <si>
    <t xml:space="preserve">PMBOK® 8 ALIGNMENT</t>
  </si>
  <si>
    <t xml:space="preserve">Project name</t>
  </si>
  <si>
    <t xml:space="preserve">Performance domain(s)</t>
  </si>
  <si>
    <t xml:space="preserve">Schedule</t>
  </si>
  <si>
    <t xml:space="preserve">Project ID</t>
  </si>
  <si>
    <t xml:space="preserve">PRJ-2026-001</t>
  </si>
  <si>
    <t xml:space="preserve">Focus area(s)</t>
  </si>
  <si>
    <t xml:space="preserve">Planning, Monitoring &amp; Controlling</t>
  </si>
  <si>
    <t xml:space="preserve">Document ID</t>
  </si>
  <si>
    <t xml:space="preserve">PRJ-2026-001-MSC</t>
  </si>
  <si>
    <t xml:space="preserve">Toolkit</t>
  </si>
  <si>
    <t xml:space="preserve">PMI Predictive Project Management Toolkit</t>
  </si>
  <si>
    <t xml:space="preserve">Document title</t>
  </si>
  <si>
    <t xml:space="preserve">Master Schedule</t>
  </si>
  <si>
    <t xml:space="preserve">Standard</t>
  </si>
  <si>
    <t xml:space="preserve">Aligned to the PMBOK® Guide – Eighth Edition</t>
  </si>
  <si>
    <t xml:space="preserve">Version</t>
  </si>
  <si>
    <t xml:space="preserve">0.1</t>
  </si>
  <si>
    <t xml:space="preserve">Status</t>
  </si>
  <si>
    <t xml:space="preserve">Draft</t>
  </si>
  <si>
    <t xml:space="preserve">Date</t>
  </si>
  <si>
    <t xml:space="preserve">2026-10-27</t>
  </si>
  <si>
    <t xml:space="preserve">Project Sponsor</t>
  </si>
  <si>
    <t xml:space="preserve">[Project Sponsor]</t>
  </si>
  <si>
    <t xml:space="preserve">Project Manager / Owner</t>
  </si>
  <si>
    <t xml:space="preserve">[Project Manager]</t>
  </si>
  <si>
    <t xml:space="preserve">Approver</t>
  </si>
  <si>
    <t xml:space="preserve">Project Manager</t>
  </si>
  <si>
    <t xml:space="preserve">Classification</t>
  </si>
  <si>
    <t xml:space="preserve">Internal</t>
  </si>
  <si>
    <t xml:space="preserve">Currency</t>
  </si>
  <si>
    <t xml:space="preserve">CAD</t>
  </si>
  <si>
    <t xml:space="preserve">File location</t>
  </si>
  <si>
    <t xml:space="preserve">[SharePoint / repository path]</t>
  </si>
  <si>
    <t xml:space="preserve">REVISION HISTORY</t>
  </si>
  <si>
    <t xml:space="preserve">Author</t>
  </si>
  <si>
    <t xml:space="preserve">Description of change</t>
  </si>
  <si>
    <t xml:space="preserve">CR ref.</t>
  </si>
  <si>
    <t xml:space="preserve">Approved by</t>
  </si>
  <si>
    <t xml:space="preserve">Initial draft created from toolkit template</t>
  </si>
  <si>
    <t xml:space="preserve">N/A</t>
  </si>
  <si>
    <t xml:space="preserve">VERSIONING SCHEME</t>
  </si>
  <si>
    <t xml:space="preserve">0.1 - 0.9</t>
  </si>
  <si>
    <t xml:space="preserve">Work in progress. Increment the minor digit for each review cycle (0.1, 0.2 ...).</t>
  </si>
  <si>
    <t xml:space="preserve">1.0</t>
  </si>
  <si>
    <t xml:space="preserve">Approved / Baselined</t>
  </si>
  <si>
    <t xml:space="preserve">First version formally approved by the designated approver. Becomes the baseline.</t>
  </si>
  <si>
    <t xml:space="preserve">1.1, 1.2 ...</t>
  </si>
  <si>
    <t xml:space="preserve">Minor revision</t>
  </si>
  <si>
    <t xml:space="preserve">Editorial or clarifying change with NO impact on scope, schedule or cost baselines. PM approval.</t>
  </si>
  <si>
    <t xml:space="preserve">2.0, 3.0 ...</t>
  </si>
  <si>
    <t xml:space="preserve">Major revision</t>
  </si>
  <si>
    <t xml:space="preserve">Change that alters a baseline. Requires an approved Change Request (doc 20) logged in the Change Log (doc 21).</t>
  </si>
  <si>
    <t xml:space="preserve">HOW TO USE THIS WORKBOOK</t>
  </si>
  <si>
    <t xml:space="preserve">1. Enter the project start date in cell C3 of the Schedule sheet; the weekly Gantt grid is built from it.</t>
  </si>
  <si>
    <t xml:space="preserve">2. Enter Start and Duration (working days); Finish is calculated with WORKDAY. Baseline dates are frozen at Gate 2 and only changed via an approved Change Request.</t>
  </si>
  <si>
    <t xml:space="preserve">3. Finish variance (working days) compares forecast Finish to Baseline Finish: positive = late. Milestones have duration 0.</t>
  </si>
  <si>
    <t xml:space="preserve">4. Navy column headers = input columns (shaded rows are for data entry). Teal headers marked ƒ = calculated columns — do not overwrite.</t>
  </si>
  <si>
    <t xml:space="preserve">5. Drop-down lists enforce the toolkit's controlled vocabulary. Rows shown in grey italics are examples — overwrite or delete them.</t>
  </si>
  <si>
    <t xml:space="preserve">6. Update the Version/Status/Date above and add a Revision History row each time the workbook is re-issued.</t>
  </si>
  <si>
    <t xml:space="preserve">07 — Master Schedule  |  Milestone Tracker</t>
  </si>
  <si>
    <t xml:space="preserve">[Project Name]   •   PRJ-2026-001-MSC   •   v0.1 Draft   •   Internal</t>
  </si>
  <si>
    <t xml:space="preserve">Milestone</t>
  </si>
  <si>
    <t xml:space="preserve">Gate</t>
  </si>
  <si>
    <t xml:space="preserve">Baseline</t>
  </si>
  <si>
    <t xml:space="preserve">Forecast / actual</t>
  </si>
  <si>
    <t xml:space="preserve">Variance (wd)</t>
  </si>
  <si>
    <t xml:space="preserve">Owner</t>
  </si>
  <si>
    <t xml:space="preserve">Comment</t>
  </si>
  <si>
    <t xml:space="preserve">G1</t>
  </si>
  <si>
    <t xml:space="preserve">G2</t>
  </si>
  <si>
    <t xml:space="preserve">G4</t>
  </si>
  <si>
    <t xml:space="preserve">G5</t>
  </si>
  <si>
    <t xml:space="preserve">07 — Master Schedule  |  Schedule</t>
  </si>
  <si>
    <t xml:space="preserve">Project start:</t>
  </si>
  <si>
    <t xml:space="preserve">Status date:</t>
  </si>
  <si>
    <t xml:space="preserve">Legend:</t>
  </si>
  <si>
    <t xml:space="preserve">Task</t>
  </si>
  <si>
    <t xml:space="preserve">Critical</t>
  </si>
  <si>
    <t xml:space="preserve">Summary</t>
  </si>
  <si>
    <t xml:space="preserve">This week</t>
  </si>
  <si>
    <t xml:space="preserve">ID</t>
  </si>
  <si>
    <t xml:space="preserve">WBS ID</t>
  </si>
  <si>
    <t xml:space="preserve">Task / milestone name</t>
  </si>
  <si>
    <t xml:space="preserve">Type</t>
  </si>
  <si>
    <t xml:space="preserve">Pred.</t>
  </si>
  <si>
    <t xml:space="preserve">Duration (wd)</t>
  </si>
  <si>
    <t xml:space="preserve">Start</t>
  </si>
  <si>
    <t xml:space="preserve">ƒ Finish</t>
  </si>
  <si>
    <t xml:space="preserve">Baseline start</t>
  </si>
  <si>
    <t xml:space="preserve">Baseline finish</t>
  </si>
  <si>
    <t xml:space="preserve">ƒ Finish var. (wd)</t>
  </si>
  <si>
    <t xml:space="preserve">% complete</t>
  </si>
  <si>
    <t xml:space="preserve">Critical path</t>
  </si>
  <si>
    <t xml:space="preserve">1</t>
  </si>
  <si>
    <t xml:space="preserve">[PM]</t>
  </si>
  <si>
    <t xml:space="preserve">Not started</t>
  </si>
  <si>
    <t xml:space="preserve">N</t>
  </si>
  <si>
    <t xml:space="preserve">1.1</t>
  </si>
  <si>
    <t xml:space="preserve">Project Management</t>
  </si>
  <si>
    <t xml:space="preserve">1.1.1</t>
  </si>
  <si>
    <t xml:space="preserve">Charter approved (Gate 1)</t>
  </si>
  <si>
    <t xml:space="preserve">Sponsor</t>
  </si>
  <si>
    <t xml:space="preserve">1.1.2</t>
  </si>
  <si>
    <t xml:space="preserve">Develop Integrated PMP &amp; baselines</t>
  </si>
  <si>
    <t xml:space="preserve">3</t>
  </si>
  <si>
    <t xml:space="preserve">PMP baselined (Gate 2)</t>
  </si>
  <si>
    <t xml:space="preserve">Steering Comm.</t>
  </si>
  <si>
    <t xml:space="preserve">4</t>
  </si>
  <si>
    <t xml:space="preserve">1.2</t>
  </si>
  <si>
    <t xml:space="preserve">Requirements &amp; Analysis</t>
  </si>
  <si>
    <t xml:space="preserve">[BA]</t>
  </si>
  <si>
    <t xml:space="preserve">1.2.1</t>
  </si>
  <si>
    <t xml:space="preserve">Current-state assessment</t>
  </si>
  <si>
    <t xml:space="preserve">1.2.2</t>
  </si>
  <si>
    <t xml:space="preserve">Requirements specification</t>
  </si>
  <si>
    <t xml:space="preserve">7</t>
  </si>
  <si>
    <t xml:space="preserve">1.3</t>
  </si>
  <si>
    <t xml:space="preserve">Design</t>
  </si>
  <si>
    <t xml:space="preserve">[Tech Lead]</t>
  </si>
  <si>
    <t xml:space="preserve">1.3.1</t>
  </si>
  <si>
    <t xml:space="preserve">High-level design</t>
  </si>
  <si>
    <t xml:space="preserve">8</t>
  </si>
  <si>
    <t xml:space="preserve">1.3.2</t>
  </si>
  <si>
    <t xml:space="preserve">Detailed design</t>
  </si>
  <si>
    <t xml:space="preserve">10</t>
  </si>
  <si>
    <t xml:space="preserve">1.4</t>
  </si>
  <si>
    <t xml:space="preserve">Build / procure deliverables</t>
  </si>
  <si>
    <t xml:space="preserve">[Team]</t>
  </si>
  <si>
    <t xml:space="preserve">11</t>
  </si>
  <si>
    <t xml:space="preserve">1.5</t>
  </si>
  <si>
    <t xml:space="preserve">Testing &amp; UAT</t>
  </si>
  <si>
    <t xml:space="preserve">[QA Lead]</t>
  </si>
  <si>
    <t xml:space="preserve">12</t>
  </si>
  <si>
    <t xml:space="preserve">1.5.2</t>
  </si>
  <si>
    <t xml:space="preserve">Final acceptance (Gate 4)</t>
  </si>
  <si>
    <t xml:space="preserve">Business Owner</t>
  </si>
  <si>
    <t xml:space="preserve">13</t>
  </si>
  <si>
    <t xml:space="preserve">1.6</t>
  </si>
  <si>
    <t xml:space="preserve">Deployment &amp; transition</t>
  </si>
  <si>
    <t xml:space="preserve">14</t>
  </si>
  <si>
    <t xml:space="preserve">1.1.4</t>
  </si>
  <si>
    <t xml:space="preserve">Project closure (Gate 5)</t>
  </si>
  <si>
    <t xml:space="preserve">15</t>
  </si>
  <si>
    <t xml:space="preserve">TaskType</t>
  </si>
  <si>
    <t xml:space="preserve">TaskStatus</t>
  </si>
  <si>
    <t xml:space="preserve">YN</t>
  </si>
  <si>
    <t xml:space="preserve">Y</t>
  </si>
  <si>
    <t xml:space="preserve">In progress</t>
  </si>
  <si>
    <t xml:space="preserve">Complete</t>
  </si>
  <si>
    <t xml:space="preserve">On hold</t>
  </si>
  <si>
    <t xml:space="preserve">At risk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</si>
</sst>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0;[RED]\-0;0"/>
    <numFmt numFmtId="167" formatCode="dd\-mmm"/>
    <numFmt numFmtId="168" formatCode="0"/>
    <numFmt numFmtId="169" formatCode="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9FD3D1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b val="true"/>
      <sz val="11"/>
      <color rgb="FF13807E"/>
      <name val="Calibri"/>
      <family val="0"/>
      <charset val="1"/>
    </font>
    <font>
      <b val="true"/>
      <sz val="10"/>
      <color rgb="FF1F3A5F"/>
      <name val="Calibri"/>
      <family val="0"/>
      <charset val="1"/>
    </font>
    <font>
      <sz val="10"/>
      <color rgb="FF6B7785"/>
      <name val="Calibri"/>
      <family val="0"/>
      <charset val="1"/>
    </font>
    <font>
      <sz val="9"/>
      <color rgb="FF1E2A36"/>
      <name val="Calibri"/>
      <family val="0"/>
      <charset val="1"/>
    </font>
    <font>
      <sz val="10"/>
      <color rgb="FF1E2A36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1E2A36"/>
      <name val="Calibri"/>
      <family val="0"/>
      <charset val="1"/>
    </font>
    <font>
      <sz val="9"/>
      <color rgb="FF6B7785"/>
      <name val="Calibri"/>
      <family val="0"/>
      <charset val="1"/>
    </font>
    <font>
      <sz val="9.5"/>
      <color rgb="FF1E2A36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9"/>
      <color rgb="FFDCE8F2"/>
      <name val="Calibri"/>
      <family val="0"/>
      <charset val="1"/>
    </font>
    <font>
      <b val="true"/>
      <sz val="9"/>
      <color rgb="FF1F3A5F"/>
      <name val="Calibri"/>
      <family val="0"/>
      <charset val="1"/>
    </font>
    <font>
      <b val="true"/>
      <sz val="10"/>
      <color rgb="FF1E2A36"/>
      <name val="Calibri"/>
      <family val="0"/>
      <charset val="1"/>
    </font>
    <font>
      <b val="true"/>
      <sz val="8"/>
      <color rgb="FF1E2A36"/>
      <name val="Calibri"/>
      <family val="0"/>
      <charset val="1"/>
    </font>
    <font>
      <sz val="8"/>
      <color rgb="FF1E2A36"/>
      <name val="Calibri"/>
      <family val="0"/>
      <charset val="1"/>
    </font>
    <font>
      <b val="true"/>
      <sz val="9.5"/>
      <color rgb="FFFFFFFF"/>
      <name val="Calibri"/>
      <family val="0"/>
      <charset val="1"/>
    </font>
    <font>
      <b val="true"/>
      <sz val="7"/>
      <color rgb="FFFFFFFF"/>
      <name val="Calibri"/>
      <family val="0"/>
      <charset val="1"/>
    </font>
    <font>
      <b val="true"/>
      <sz val="9.5"/>
      <color rgb="FF1E2A36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A5F"/>
        <bgColor rgb="FF1E2A36"/>
      </patternFill>
    </fill>
    <fill>
      <patternFill patternType="solid">
        <fgColor rgb="FFDCE8F2"/>
        <bgColor rgb="FFD5EFDF"/>
      </patternFill>
    </fill>
    <fill>
      <patternFill patternType="solid">
        <fgColor rgb="FFF3F6F9"/>
        <bgColor rgb="FFEAF2F2"/>
      </patternFill>
    </fill>
    <fill>
      <patternFill patternType="solid">
        <fgColor rgb="FF13807E"/>
        <bgColor rgb="FF008080"/>
      </patternFill>
    </fill>
    <fill>
      <patternFill patternType="solid">
        <fgColor rgb="FFEAF2F2"/>
        <bgColor rgb="FFF3F6F9"/>
      </patternFill>
    </fill>
    <fill>
      <patternFill patternType="solid">
        <fgColor rgb="FFFCEFC7"/>
        <bgColor rgb="FFFFF2CC"/>
      </patternFill>
    </fill>
    <fill>
      <patternFill patternType="solid">
        <fgColor rgb="FFE67E22"/>
        <bgColor rgb="FFFF9900"/>
      </patternFill>
    </fill>
    <fill>
      <patternFill patternType="solid">
        <fgColor rgb="FFC0392B"/>
        <bgColor rgb="FF993366"/>
      </patternFill>
    </fill>
    <fill>
      <patternFill patternType="solid">
        <fgColor rgb="FFFFF2CC"/>
        <bgColor rgb="FFFCEFC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4D0"/>
      </left>
      <right style="thin">
        <color rgb="FFB8C4D0"/>
      </right>
      <top style="thin">
        <color rgb="FFB8C4D0"/>
      </top>
      <bottom style="thin">
        <color rgb="FFB8C4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2" borderId="0" xfId="0" applyFont="true" applyBorder="false" applyAlignment="true" applyProtection="false">
      <alignment horizontal="center" vertical="center" textRotation="9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2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24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24" fillId="6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24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2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24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24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9" fontId="24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15" fillId="6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1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1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5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9" fontId="1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3F6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E2A3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3807E"/>
          <bgColor rgb="FF000000"/>
        </patternFill>
      </fill>
    </dxf>
    <dxf>
      <fill>
        <patternFill patternType="solid">
          <fgColor rgb="FFEAF2F2"/>
          <bgColor rgb="FF000000"/>
        </patternFill>
      </fill>
    </dxf>
    <dxf>
      <fill>
        <patternFill>
          <bgColor rgb="FFC0392B"/>
        </patternFill>
      </fill>
    </dxf>
    <dxf>
      <fill>
        <patternFill>
          <bgColor rgb="FF1F3A5F"/>
        </patternFill>
      </fill>
    </dxf>
    <dxf>
      <fill>
        <patternFill>
          <bgColor rgb="FFE67E22"/>
        </patternFill>
      </fill>
    </dxf>
    <dxf>
      <fill>
        <patternFill>
          <bgColor rgb="FF13807E"/>
        </patternFill>
      </fill>
    </dxf>
    <dxf>
      <fill>
        <patternFill>
          <bgColor rgb="FFFFF2CC"/>
        </patternFill>
      </fill>
    </dxf>
    <dxf>
      <font>
        <name val="Calibri"/>
        <charset val="1"/>
        <family val="0"/>
        <b val="1"/>
        <color rgb="FF2E8B57"/>
      </font>
      <fill>
        <patternFill>
          <bgColor rgb="FFD5EFDF"/>
        </patternFill>
      </fill>
    </dxf>
    <dxf>
      <font>
        <name val="Calibri"/>
        <charset val="1"/>
        <family val="0"/>
        <b val="1"/>
        <color rgb="FFC0392B"/>
      </font>
      <fill>
        <patternFill>
          <bgColor rgb="FFF6D5D1"/>
        </patternFill>
      </fill>
    </dxf>
    <dxf>
      <font>
        <name val="Calibri"/>
        <charset val="1"/>
        <family val="0"/>
        <b val="1"/>
        <color rgb="FF1F3A5F"/>
      </font>
      <fill>
        <patternFill>
          <bgColor rgb="FFDCE8F2"/>
        </patternFill>
      </fill>
    </dxf>
    <dxf>
      <fill>
        <patternFill>
          <bgColor rgb="FFFCEF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3807E"/>
      <rgbColor rgb="FFB8C4D0"/>
      <rgbColor rgb="FF6B7785"/>
      <rgbColor rgb="FF9999FF"/>
      <rgbColor rgb="FF993366"/>
      <rgbColor rgb="FFFFF2CC"/>
      <rgbColor rgb="FFEAF2F2"/>
      <rgbColor rgb="FF660066"/>
      <rgbColor rgb="FFFF8080"/>
      <rgbColor rgb="FF0066CC"/>
      <rgbColor rgb="FFF3F6F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8F2"/>
      <rgbColor rgb="FFD5EFDF"/>
      <rgbColor rgb="FFFCEFC7"/>
      <rgbColor rgb="FF9FD3D1"/>
      <rgbColor rgb="FFFF99CC"/>
      <rgbColor rgb="FFCC99FF"/>
      <rgbColor rgb="FFF6D5D1"/>
      <rgbColor rgb="FF3366FF"/>
      <rgbColor rgb="FF33CCCC"/>
      <rgbColor rgb="FF99CC00"/>
      <rgbColor rgb="FFFFCC00"/>
      <rgbColor rgb="FFFF9900"/>
      <rgbColor rgb="FFE67E22"/>
      <rgbColor rgb="FF666699"/>
      <rgbColor rgb="FF969696"/>
      <rgbColor rgb="FF1F3A5F"/>
      <rgbColor rgb="FF2E8B57"/>
      <rgbColor rgb="FF003300"/>
      <rgbColor rgb="FF333300"/>
      <rgbColor rgb="FFC0392B"/>
      <rgbColor rgb="FF993366"/>
      <rgbColor rgb="FF333399"/>
      <rgbColor rgb="FF1E2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B2:G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4" min="3" style="0" width="18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14"/>
  </cols>
  <sheetData>
    <row r="2" customFormat="false" ht="18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31.5" hidden="false" customHeight="true" outlineLevel="0" collapsed="false">
      <c r="B3" s="2" t="s">
        <v>1</v>
      </c>
      <c r="C3" s="2"/>
      <c r="D3" s="2"/>
      <c r="E3" s="2"/>
      <c r="F3" s="2"/>
      <c r="G3" s="2"/>
    </row>
    <row r="4" customFormat="false" ht="19.5" hidden="false" customHeight="true" outlineLevel="0" collapsed="false">
      <c r="B4" s="3" t="s">
        <v>2</v>
      </c>
      <c r="C4" s="3"/>
      <c r="D4" s="3"/>
      <c r="E4" s="3"/>
      <c r="F4" s="3"/>
      <c r="G4" s="3"/>
    </row>
    <row r="6" customFormat="false" ht="15" hidden="false" customHeight="false" outlineLevel="0" collapsed="false">
      <c r="B6" s="4" t="s">
        <v>3</v>
      </c>
      <c r="E6" s="4" t="s">
        <v>4</v>
      </c>
    </row>
    <row r="7" customFormat="false" ht="27.75" hidden="false" customHeight="true" outlineLevel="0" collapsed="false">
      <c r="B7" s="5" t="s">
        <v>5</v>
      </c>
      <c r="C7" s="6" t="s">
        <v>2</v>
      </c>
      <c r="D7" s="6"/>
      <c r="E7" s="5" t="s">
        <v>6</v>
      </c>
      <c r="F7" s="7" t="s">
        <v>7</v>
      </c>
      <c r="G7" s="7"/>
    </row>
    <row r="8" customFormat="false" ht="27.75" hidden="false" customHeight="true" outlineLevel="0" collapsed="false">
      <c r="B8" s="5" t="s">
        <v>8</v>
      </c>
      <c r="C8" s="8" t="s">
        <v>9</v>
      </c>
      <c r="D8" s="8"/>
      <c r="E8" s="5" t="s">
        <v>10</v>
      </c>
      <c r="F8" s="7" t="s">
        <v>11</v>
      </c>
      <c r="G8" s="7"/>
    </row>
    <row r="9" customFormat="false" ht="27.75" hidden="false" customHeight="true" outlineLevel="0" collapsed="false">
      <c r="B9" s="5" t="s">
        <v>12</v>
      </c>
      <c r="C9" s="8" t="s">
        <v>13</v>
      </c>
      <c r="D9" s="8"/>
      <c r="E9" s="5" t="s">
        <v>14</v>
      </c>
      <c r="F9" s="7" t="s">
        <v>15</v>
      </c>
      <c r="G9" s="7"/>
    </row>
    <row r="10" customFormat="false" ht="27.75" hidden="false" customHeight="true" outlineLevel="0" collapsed="false">
      <c r="B10" s="5" t="s">
        <v>16</v>
      </c>
      <c r="C10" s="8" t="s">
        <v>17</v>
      </c>
      <c r="D10" s="8"/>
      <c r="E10" s="5" t="s">
        <v>18</v>
      </c>
      <c r="F10" s="7" t="s">
        <v>19</v>
      </c>
      <c r="G10" s="7"/>
    </row>
    <row r="11" customFormat="false" ht="15" hidden="false" customHeight="false" outlineLevel="0" collapsed="false">
      <c r="B11" s="5" t="s">
        <v>20</v>
      </c>
      <c r="C11" s="8" t="s">
        <v>21</v>
      </c>
      <c r="D11" s="8"/>
    </row>
    <row r="12" customFormat="false" ht="15" hidden="false" customHeight="false" outlineLevel="0" collapsed="false">
      <c r="B12" s="5" t="s">
        <v>22</v>
      </c>
      <c r="C12" s="8" t="s">
        <v>23</v>
      </c>
      <c r="D12" s="8"/>
    </row>
    <row r="13" customFormat="false" ht="15" hidden="false" customHeight="false" outlineLevel="0" collapsed="false">
      <c r="B13" s="5" t="s">
        <v>24</v>
      </c>
      <c r="C13" s="8" t="s">
        <v>25</v>
      </c>
      <c r="D13" s="8"/>
    </row>
    <row r="14" customFormat="false" ht="15" hidden="false" customHeight="false" outlineLevel="0" collapsed="false">
      <c r="B14" s="5" t="s">
        <v>26</v>
      </c>
      <c r="C14" s="6" t="s">
        <v>27</v>
      </c>
      <c r="D14" s="6"/>
    </row>
    <row r="15" customFormat="false" ht="15" hidden="false" customHeight="false" outlineLevel="0" collapsed="false">
      <c r="B15" s="5" t="s">
        <v>28</v>
      </c>
      <c r="C15" s="6" t="s">
        <v>29</v>
      </c>
      <c r="D15" s="6"/>
    </row>
    <row r="16" customFormat="false" ht="15" hidden="false" customHeight="false" outlineLevel="0" collapsed="false">
      <c r="B16" s="5" t="s">
        <v>30</v>
      </c>
      <c r="C16" s="8" t="s">
        <v>31</v>
      </c>
      <c r="D16" s="8"/>
    </row>
    <row r="17" customFormat="false" ht="15" hidden="false" customHeight="false" outlineLevel="0" collapsed="false">
      <c r="B17" s="5" t="s">
        <v>32</v>
      </c>
      <c r="C17" s="8" t="s">
        <v>33</v>
      </c>
      <c r="D17" s="8"/>
    </row>
    <row r="18" customFormat="false" ht="15" hidden="false" customHeight="false" outlineLevel="0" collapsed="false">
      <c r="B18" s="5" t="s">
        <v>34</v>
      </c>
      <c r="C18" s="8" t="s">
        <v>35</v>
      </c>
      <c r="D18" s="8"/>
    </row>
    <row r="19" customFormat="false" ht="15" hidden="false" customHeight="false" outlineLevel="0" collapsed="false">
      <c r="B19" s="5" t="s">
        <v>36</v>
      </c>
      <c r="C19" s="6" t="s">
        <v>37</v>
      </c>
      <c r="D19" s="6"/>
    </row>
    <row r="22" customFormat="false" ht="15" hidden="false" customHeight="false" outlineLevel="0" collapsed="false">
      <c r="B22" s="4" t="s">
        <v>38</v>
      </c>
    </row>
    <row r="23" customFormat="false" ht="15" hidden="false" customHeight="false" outlineLevel="0" collapsed="false">
      <c r="B23" s="9" t="s">
        <v>20</v>
      </c>
      <c r="C23" s="9" t="s">
        <v>24</v>
      </c>
      <c r="D23" s="9" t="s">
        <v>39</v>
      </c>
      <c r="E23" s="9" t="s">
        <v>40</v>
      </c>
      <c r="F23" s="9" t="s">
        <v>41</v>
      </c>
      <c r="G23" s="9" t="s">
        <v>42</v>
      </c>
    </row>
    <row r="24" customFormat="false" ht="15" hidden="false" customHeight="false" outlineLevel="0" collapsed="false">
      <c r="B24" s="10" t="s">
        <v>21</v>
      </c>
      <c r="C24" s="10" t="s">
        <v>25</v>
      </c>
      <c r="D24" s="10" t="s">
        <v>29</v>
      </c>
      <c r="E24" s="10" t="s">
        <v>43</v>
      </c>
      <c r="F24" s="10" t="s">
        <v>44</v>
      </c>
      <c r="G24" s="10"/>
    </row>
    <row r="25" customFormat="false" ht="15" hidden="false" customHeight="false" outlineLevel="0" collapsed="false">
      <c r="B25" s="11"/>
      <c r="C25" s="11"/>
      <c r="D25" s="11"/>
      <c r="E25" s="11"/>
      <c r="F25" s="11"/>
      <c r="G25" s="11"/>
    </row>
    <row r="26" customFormat="false" ht="15" hidden="false" customHeight="false" outlineLevel="0" collapsed="false">
      <c r="B26" s="10"/>
      <c r="C26" s="10"/>
      <c r="D26" s="10"/>
      <c r="E26" s="10"/>
      <c r="F26" s="10"/>
      <c r="G26" s="10"/>
    </row>
    <row r="27" customFormat="false" ht="15" hidden="false" customHeight="false" outlineLevel="0" collapsed="false">
      <c r="B27" s="11"/>
      <c r="C27" s="11"/>
      <c r="D27" s="11"/>
      <c r="E27" s="11"/>
      <c r="F27" s="11"/>
      <c r="G27" s="11"/>
    </row>
    <row r="28" customFormat="false" ht="15" hidden="false" customHeight="false" outlineLevel="0" collapsed="false">
      <c r="B28" s="10"/>
      <c r="C28" s="10"/>
      <c r="D28" s="10"/>
      <c r="E28" s="10"/>
      <c r="F28" s="10"/>
      <c r="G28" s="10"/>
    </row>
    <row r="30" customFormat="false" ht="15" hidden="false" customHeight="false" outlineLevel="0" collapsed="false">
      <c r="B30" s="4" t="s">
        <v>45</v>
      </c>
    </row>
    <row r="31" customFormat="false" ht="25.5" hidden="false" customHeight="true" outlineLevel="0" collapsed="false">
      <c r="B31" s="12" t="s">
        <v>46</v>
      </c>
      <c r="C31" s="13" t="s">
        <v>23</v>
      </c>
      <c r="D31" s="14" t="s">
        <v>47</v>
      </c>
      <c r="E31" s="14"/>
      <c r="F31" s="14"/>
      <c r="G31" s="14"/>
    </row>
    <row r="32" customFormat="false" ht="25.5" hidden="false" customHeight="true" outlineLevel="0" collapsed="false">
      <c r="B32" s="12" t="s">
        <v>48</v>
      </c>
      <c r="C32" s="13" t="s">
        <v>49</v>
      </c>
      <c r="D32" s="14" t="s">
        <v>50</v>
      </c>
      <c r="E32" s="14"/>
      <c r="F32" s="14"/>
      <c r="G32" s="14"/>
    </row>
    <row r="33" customFormat="false" ht="25.5" hidden="false" customHeight="true" outlineLevel="0" collapsed="false">
      <c r="B33" s="12" t="s">
        <v>51</v>
      </c>
      <c r="C33" s="13" t="s">
        <v>52</v>
      </c>
      <c r="D33" s="14" t="s">
        <v>53</v>
      </c>
      <c r="E33" s="14"/>
      <c r="F33" s="14"/>
      <c r="G33" s="14"/>
    </row>
    <row r="34" customFormat="false" ht="25.5" hidden="false" customHeight="true" outlineLevel="0" collapsed="false">
      <c r="B34" s="12" t="s">
        <v>54</v>
      </c>
      <c r="C34" s="13" t="s">
        <v>55</v>
      </c>
      <c r="D34" s="14" t="s">
        <v>56</v>
      </c>
      <c r="E34" s="14"/>
      <c r="F34" s="14"/>
      <c r="G34" s="14"/>
    </row>
    <row r="36" customFormat="false" ht="15" hidden="false" customHeight="false" outlineLevel="0" collapsed="false">
      <c r="B36" s="4" t="s">
        <v>57</v>
      </c>
    </row>
    <row r="37" customFormat="false" ht="30" hidden="false" customHeight="true" outlineLevel="0" collapsed="false">
      <c r="B37" s="15" t="s">
        <v>58</v>
      </c>
      <c r="C37" s="15"/>
      <c r="D37" s="15"/>
      <c r="E37" s="15"/>
      <c r="F37" s="15"/>
      <c r="G37" s="15"/>
    </row>
    <row r="38" customFormat="false" ht="30" hidden="false" customHeight="true" outlineLevel="0" collapsed="false">
      <c r="B38" s="15" t="s">
        <v>59</v>
      </c>
      <c r="C38" s="15"/>
      <c r="D38" s="15"/>
      <c r="E38" s="15"/>
      <c r="F38" s="15"/>
      <c r="G38" s="15"/>
    </row>
    <row r="39" customFormat="false" ht="30" hidden="false" customHeight="true" outlineLevel="0" collapsed="false">
      <c r="B39" s="15" t="s">
        <v>60</v>
      </c>
      <c r="C39" s="15"/>
      <c r="D39" s="15"/>
      <c r="E39" s="15"/>
      <c r="F39" s="15"/>
      <c r="G39" s="15"/>
    </row>
    <row r="40" customFormat="false" ht="30" hidden="false" customHeight="true" outlineLevel="0" collapsed="false">
      <c r="B40" s="15" t="s">
        <v>61</v>
      </c>
      <c r="C40" s="15"/>
      <c r="D40" s="15"/>
      <c r="E40" s="15"/>
      <c r="F40" s="15"/>
      <c r="G40" s="15"/>
    </row>
    <row r="41" customFormat="false" ht="30" hidden="false" customHeight="true" outlineLevel="0" collapsed="false">
      <c r="B41" s="15" t="s">
        <v>62</v>
      </c>
      <c r="C41" s="15"/>
      <c r="D41" s="15"/>
      <c r="E41" s="15"/>
      <c r="F41" s="15"/>
      <c r="G41" s="15"/>
    </row>
    <row r="42" customFormat="false" ht="30" hidden="false" customHeight="true" outlineLevel="0" collapsed="false">
      <c r="B42" s="15" t="s">
        <v>63</v>
      </c>
      <c r="C42" s="15"/>
      <c r="D42" s="15"/>
      <c r="E42" s="15"/>
      <c r="F42" s="15"/>
      <c r="G42" s="15"/>
    </row>
  </sheetData>
  <mergeCells count="30">
    <mergeCell ref="B2:G2"/>
    <mergeCell ref="B3:G3"/>
    <mergeCell ref="B4:G4"/>
    <mergeCell ref="C7:D7"/>
    <mergeCell ref="F7:G7"/>
    <mergeCell ref="C8:D8"/>
    <mergeCell ref="F8:G8"/>
    <mergeCell ref="C9:D9"/>
    <mergeCell ref="F9:G9"/>
    <mergeCell ref="C10:D10"/>
    <mergeCell ref="F10:G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D31:G31"/>
    <mergeCell ref="D32:G32"/>
    <mergeCell ref="D33:G33"/>
    <mergeCell ref="D34:G34"/>
    <mergeCell ref="B37:G37"/>
    <mergeCell ref="B38:G38"/>
    <mergeCell ref="B39:G39"/>
    <mergeCell ref="B40:G40"/>
    <mergeCell ref="B41:G41"/>
    <mergeCell ref="B42:G42"/>
  </mergeCells>
  <dataValidations count="2">
    <dataValidation allowBlank="true" errorStyle="stop" operator="between" showDropDown="false" showErrorMessage="false" showInputMessage="false" sqref="C12" type="list">
      <formula1>"Draft,In Review,Approved,Baselined,Superseded,Archived"</formula1>
      <formula2>0</formula2>
    </dataValidation>
    <dataValidation allowBlank="true" errorStyle="stop" operator="between" showDropDown="false" showErrorMessage="false" showInputMessage="false" sqref="C17" type="list">
      <formula1>"Public,Internal,Confidential,Restricted"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30"/>
  </cols>
  <sheetData>
    <row r="1" customFormat="false" ht="25.5" hidden="false" customHeight="true" outlineLevel="0" collapsed="false">
      <c r="A1" s="16" t="s">
        <v>64</v>
      </c>
      <c r="B1" s="16"/>
      <c r="C1" s="16"/>
      <c r="D1" s="16"/>
      <c r="E1" s="16"/>
      <c r="F1" s="16"/>
      <c r="G1" s="16"/>
      <c r="H1" s="16"/>
    </row>
    <row r="2" customFormat="false" ht="15.75" hidden="false" customHeight="true" outlineLevel="0" collapsed="false">
      <c r="A2" s="17" t="s">
        <v>65</v>
      </c>
      <c r="B2" s="17"/>
      <c r="C2" s="17"/>
      <c r="D2" s="17"/>
      <c r="E2" s="17"/>
      <c r="F2" s="17"/>
      <c r="G2" s="17"/>
      <c r="H2" s="17"/>
    </row>
    <row r="3" customFormat="false" ht="6" hidden="false" customHeight="true" outlineLevel="0" collapsed="false"/>
    <row r="4" customFormat="false" ht="15" hidden="false" customHeight="false" outlineLevel="0" collapsed="false">
      <c r="A4" s="18" t="s">
        <v>66</v>
      </c>
      <c r="B4" s="18" t="s">
        <v>67</v>
      </c>
      <c r="C4" s="19" t="s">
        <v>68</v>
      </c>
      <c r="D4" s="19" t="s">
        <v>69</v>
      </c>
      <c r="E4" s="19" t="s">
        <v>70</v>
      </c>
      <c r="F4" s="18" t="s">
        <v>22</v>
      </c>
      <c r="G4" s="18" t="s">
        <v>71</v>
      </c>
      <c r="H4" s="18" t="s">
        <v>72</v>
      </c>
    </row>
    <row r="5" customFormat="false" ht="15" hidden="false" customHeight="false" outlineLevel="0" collapsed="false">
      <c r="A5" s="20" t="str">
        <f aca="false">Schedule!C7</f>
        <v>Charter approved (Gate 1)</v>
      </c>
      <c r="B5" s="21" t="s">
        <v>73</v>
      </c>
      <c r="C5" s="22" t="n">
        <f aca="false">Schedule!K7</f>
        <v>46328</v>
      </c>
      <c r="D5" s="22" t="n">
        <f aca="false">Schedule!I7</f>
        <v>46328</v>
      </c>
      <c r="E5" s="23" t="n">
        <f aca="false">Schedule!L7</f>
        <v>0</v>
      </c>
      <c r="F5" s="20" t="str">
        <f aca="false">Schedule!N7</f>
        <v>Not started</v>
      </c>
      <c r="G5" s="20" t="str">
        <f aca="false">Schedule!E7</f>
        <v>Sponsor</v>
      </c>
      <c r="H5" s="21"/>
    </row>
    <row r="6" customFormat="false" ht="15" hidden="false" customHeight="false" outlineLevel="0" collapsed="false">
      <c r="A6" s="20" t="str">
        <f aca="false">Schedule!C9</f>
        <v>PMP baselined (Gate 2)</v>
      </c>
      <c r="B6" s="21" t="s">
        <v>74</v>
      </c>
      <c r="C6" s="22" t="n">
        <f aca="false">Schedule!K9</f>
        <v>46357</v>
      </c>
      <c r="D6" s="22" t="n">
        <f aca="false">Schedule!I9</f>
        <v>46357</v>
      </c>
      <c r="E6" s="23" t="n">
        <f aca="false">Schedule!L9</f>
        <v>0</v>
      </c>
      <c r="F6" s="20" t="str">
        <f aca="false">Schedule!N9</f>
        <v>Not started</v>
      </c>
      <c r="G6" s="20" t="str">
        <f aca="false">Schedule!E9</f>
        <v>Steering Comm.</v>
      </c>
      <c r="H6" s="21"/>
    </row>
    <row r="7" customFormat="false" ht="15" hidden="false" customHeight="false" outlineLevel="0" collapsed="false">
      <c r="A7" s="20" t="str">
        <f aca="false">Schedule!C18</f>
        <v>Final acceptance (Gate 4)</v>
      </c>
      <c r="B7" s="21" t="s">
        <v>75</v>
      </c>
      <c r="C7" s="22" t="n">
        <f aca="false">Schedule!K18</f>
        <v>46496</v>
      </c>
      <c r="D7" s="22" t="n">
        <f aca="false">Schedule!I18</f>
        <v>46496</v>
      </c>
      <c r="E7" s="23" t="n">
        <f aca="false">Schedule!L18</f>
        <v>0</v>
      </c>
      <c r="F7" s="20" t="str">
        <f aca="false">Schedule!N18</f>
        <v>Not started</v>
      </c>
      <c r="G7" s="20" t="str">
        <f aca="false">Schedule!E18</f>
        <v>Business Owner</v>
      </c>
      <c r="H7" s="21"/>
    </row>
    <row r="8" customFormat="false" ht="15" hidden="false" customHeight="false" outlineLevel="0" collapsed="false">
      <c r="A8" s="20" t="str">
        <f aca="false">Schedule!C20</f>
        <v>Project closure (Gate 5)</v>
      </c>
      <c r="B8" s="21" t="s">
        <v>76</v>
      </c>
      <c r="C8" s="22" t="n">
        <f aca="false">Schedule!K20</f>
        <v>46524</v>
      </c>
      <c r="D8" s="22" t="n">
        <f aca="false">Schedule!I20</f>
        <v>46524</v>
      </c>
      <c r="E8" s="23" t="n">
        <f aca="false">Schedule!L20</f>
        <v>0</v>
      </c>
      <c r="F8" s="20" t="str">
        <f aca="false">Schedule!N20</f>
        <v>Not started</v>
      </c>
      <c r="G8" s="20" t="str">
        <f aca="false">Schedule!E20</f>
        <v>Sponsor</v>
      </c>
      <c r="H8" s="21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807E"/>
    <pageSetUpPr fitToPage="true"/>
  </sheetPr>
  <dimension ref="A1:BP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36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7"/>
    <col collapsed="false" customWidth="true" hidden="false" outlineLevel="0" max="7" min="7" style="0" width="8"/>
    <col collapsed="false" customWidth="true" hidden="false" outlineLevel="0" max="11" min="8" style="0" width="11"/>
    <col collapsed="false" customWidth="true" hidden="false" outlineLevel="0" max="13" min="12" style="0" width="8"/>
    <col collapsed="false" customWidth="true" hidden="false" outlineLevel="0" max="14" min="14" style="0" width="11"/>
    <col collapsed="false" customWidth="true" hidden="false" outlineLevel="0" max="15" min="15" style="0" width="7"/>
    <col collapsed="false" customWidth="true" hidden="false" outlineLevel="0" max="68" min="17" style="0" width="3.2"/>
  </cols>
  <sheetData>
    <row r="1" customFormat="false" ht="25.5" hidden="false" customHeight="true" outlineLevel="0" collapsed="false">
      <c r="A1" s="16" t="s">
        <v>77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</row>
    <row r="2" customFormat="false" ht="15.75" hidden="false" customHeight="true" outlineLevel="0" collapsed="false">
      <c r="A2" s="17" t="s">
        <v>65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</row>
    <row r="3" customFormat="false" ht="18" hidden="false" customHeight="true" outlineLevel="0" collapsed="false">
      <c r="A3" s="25" t="s">
        <v>78</v>
      </c>
      <c r="B3" s="25"/>
      <c r="C3" s="26" t="n">
        <v>46328</v>
      </c>
      <c r="D3" s="27" t="s">
        <v>79</v>
      </c>
      <c r="E3" s="28" t="n">
        <f aca="true">TODAY()</f>
        <v>46322</v>
      </c>
      <c r="Q3" s="29" t="s">
        <v>80</v>
      </c>
      <c r="S3" s="30"/>
      <c r="T3" s="31" t="s">
        <v>81</v>
      </c>
      <c r="W3" s="32"/>
      <c r="X3" s="31" t="s">
        <v>82</v>
      </c>
      <c r="AA3" s="24"/>
      <c r="AB3" s="31" t="s">
        <v>83</v>
      </c>
      <c r="AE3" s="33"/>
      <c r="AF3" s="31" t="s">
        <v>66</v>
      </c>
      <c r="AI3" s="34"/>
      <c r="AJ3" s="31" t="s">
        <v>84</v>
      </c>
    </row>
    <row r="4" customFormat="false" ht="43.5" hidden="false" customHeight="true" outlineLevel="0" collapsed="false">
      <c r="A4" s="35" t="s">
        <v>85</v>
      </c>
      <c r="B4" s="35" t="s">
        <v>86</v>
      </c>
      <c r="C4" s="35" t="s">
        <v>87</v>
      </c>
      <c r="D4" s="35" t="s">
        <v>88</v>
      </c>
      <c r="E4" s="35" t="s">
        <v>71</v>
      </c>
      <c r="F4" s="35" t="s">
        <v>89</v>
      </c>
      <c r="G4" s="35" t="s">
        <v>90</v>
      </c>
      <c r="H4" s="35" t="s">
        <v>91</v>
      </c>
      <c r="I4" s="36" t="s">
        <v>92</v>
      </c>
      <c r="J4" s="35" t="s">
        <v>93</v>
      </c>
      <c r="K4" s="35" t="s">
        <v>94</v>
      </c>
      <c r="L4" s="36" t="s">
        <v>95</v>
      </c>
      <c r="M4" s="35" t="s">
        <v>96</v>
      </c>
      <c r="N4" s="35" t="s">
        <v>22</v>
      </c>
      <c r="O4" s="35" t="s">
        <v>97</v>
      </c>
      <c r="Q4" s="37" t="n">
        <f aca="false">$C$3-WEEKDAY($C$3,3)+0</f>
        <v>46328</v>
      </c>
      <c r="R4" s="37" t="n">
        <f aca="false">$C$3-WEEKDAY($C$3,3)+7</f>
        <v>46335</v>
      </c>
      <c r="S4" s="37" t="n">
        <f aca="false">$C$3-WEEKDAY($C$3,3)+14</f>
        <v>46342</v>
      </c>
      <c r="T4" s="37" t="n">
        <f aca="false">$C$3-WEEKDAY($C$3,3)+21</f>
        <v>46349</v>
      </c>
      <c r="U4" s="37" t="n">
        <f aca="false">$C$3-WEEKDAY($C$3,3)+28</f>
        <v>46356</v>
      </c>
      <c r="V4" s="37" t="n">
        <f aca="false">$C$3-WEEKDAY($C$3,3)+35</f>
        <v>46363</v>
      </c>
      <c r="W4" s="37" t="n">
        <f aca="false">$C$3-WEEKDAY($C$3,3)+42</f>
        <v>46370</v>
      </c>
      <c r="X4" s="37" t="n">
        <f aca="false">$C$3-WEEKDAY($C$3,3)+49</f>
        <v>46377</v>
      </c>
      <c r="Y4" s="37" t="n">
        <f aca="false">$C$3-WEEKDAY($C$3,3)+56</f>
        <v>46384</v>
      </c>
      <c r="Z4" s="37" t="n">
        <f aca="false">$C$3-WEEKDAY($C$3,3)+63</f>
        <v>46391</v>
      </c>
      <c r="AA4" s="37" t="n">
        <f aca="false">$C$3-WEEKDAY($C$3,3)+70</f>
        <v>46398</v>
      </c>
      <c r="AB4" s="37" t="n">
        <f aca="false">$C$3-WEEKDAY($C$3,3)+77</f>
        <v>46405</v>
      </c>
      <c r="AC4" s="37" t="n">
        <f aca="false">$C$3-WEEKDAY($C$3,3)+84</f>
        <v>46412</v>
      </c>
      <c r="AD4" s="37" t="n">
        <f aca="false">$C$3-WEEKDAY($C$3,3)+91</f>
        <v>46419</v>
      </c>
      <c r="AE4" s="37" t="n">
        <f aca="false">$C$3-WEEKDAY($C$3,3)+98</f>
        <v>46426</v>
      </c>
      <c r="AF4" s="37" t="n">
        <f aca="false">$C$3-WEEKDAY($C$3,3)+105</f>
        <v>46433</v>
      </c>
      <c r="AG4" s="37" t="n">
        <f aca="false">$C$3-WEEKDAY($C$3,3)+112</f>
        <v>46440</v>
      </c>
      <c r="AH4" s="37" t="n">
        <f aca="false">$C$3-WEEKDAY($C$3,3)+119</f>
        <v>46447</v>
      </c>
      <c r="AI4" s="37" t="n">
        <f aca="false">$C$3-WEEKDAY($C$3,3)+126</f>
        <v>46454</v>
      </c>
      <c r="AJ4" s="37" t="n">
        <f aca="false">$C$3-WEEKDAY($C$3,3)+133</f>
        <v>46461</v>
      </c>
      <c r="AK4" s="37" t="n">
        <f aca="false">$C$3-WEEKDAY($C$3,3)+140</f>
        <v>46468</v>
      </c>
      <c r="AL4" s="37" t="n">
        <f aca="false">$C$3-WEEKDAY($C$3,3)+147</f>
        <v>46475</v>
      </c>
      <c r="AM4" s="37" t="n">
        <f aca="false">$C$3-WEEKDAY($C$3,3)+154</f>
        <v>46482</v>
      </c>
      <c r="AN4" s="37" t="n">
        <f aca="false">$C$3-WEEKDAY($C$3,3)+161</f>
        <v>46489</v>
      </c>
      <c r="AO4" s="37" t="n">
        <f aca="false">$C$3-WEEKDAY($C$3,3)+168</f>
        <v>46496</v>
      </c>
      <c r="AP4" s="37" t="n">
        <f aca="false">$C$3-WEEKDAY($C$3,3)+175</f>
        <v>46503</v>
      </c>
      <c r="AQ4" s="37" t="n">
        <f aca="false">$C$3-WEEKDAY($C$3,3)+182</f>
        <v>46510</v>
      </c>
      <c r="AR4" s="37" t="n">
        <f aca="false">$C$3-WEEKDAY($C$3,3)+189</f>
        <v>46517</v>
      </c>
      <c r="AS4" s="37" t="n">
        <f aca="false">$C$3-WEEKDAY($C$3,3)+196</f>
        <v>46524</v>
      </c>
      <c r="AT4" s="37" t="n">
        <f aca="false">$C$3-WEEKDAY($C$3,3)+203</f>
        <v>46531</v>
      </c>
      <c r="AU4" s="37" t="n">
        <f aca="false">$C$3-WEEKDAY($C$3,3)+210</f>
        <v>46538</v>
      </c>
      <c r="AV4" s="37" t="n">
        <f aca="false">$C$3-WEEKDAY($C$3,3)+217</f>
        <v>46545</v>
      </c>
      <c r="AW4" s="37" t="n">
        <f aca="false">$C$3-WEEKDAY($C$3,3)+224</f>
        <v>46552</v>
      </c>
      <c r="AX4" s="37" t="n">
        <f aca="false">$C$3-WEEKDAY($C$3,3)+231</f>
        <v>46559</v>
      </c>
      <c r="AY4" s="37" t="n">
        <f aca="false">$C$3-WEEKDAY($C$3,3)+238</f>
        <v>46566</v>
      </c>
      <c r="AZ4" s="37" t="n">
        <f aca="false">$C$3-WEEKDAY($C$3,3)+245</f>
        <v>46573</v>
      </c>
      <c r="BA4" s="37" t="n">
        <f aca="false">$C$3-WEEKDAY($C$3,3)+252</f>
        <v>46580</v>
      </c>
      <c r="BB4" s="37" t="n">
        <f aca="false">$C$3-WEEKDAY($C$3,3)+259</f>
        <v>46587</v>
      </c>
      <c r="BC4" s="37" t="n">
        <f aca="false">$C$3-WEEKDAY($C$3,3)+266</f>
        <v>46594</v>
      </c>
      <c r="BD4" s="37" t="n">
        <f aca="false">$C$3-WEEKDAY($C$3,3)+273</f>
        <v>46601</v>
      </c>
      <c r="BE4" s="37" t="n">
        <f aca="false">$C$3-WEEKDAY($C$3,3)+280</f>
        <v>46608</v>
      </c>
      <c r="BF4" s="37" t="n">
        <f aca="false">$C$3-WEEKDAY($C$3,3)+287</f>
        <v>46615</v>
      </c>
      <c r="BG4" s="37" t="n">
        <f aca="false">$C$3-WEEKDAY($C$3,3)+294</f>
        <v>46622</v>
      </c>
      <c r="BH4" s="37" t="n">
        <f aca="false">$C$3-WEEKDAY($C$3,3)+301</f>
        <v>46629</v>
      </c>
      <c r="BI4" s="37" t="n">
        <f aca="false">$C$3-WEEKDAY($C$3,3)+308</f>
        <v>46636</v>
      </c>
      <c r="BJ4" s="37" t="n">
        <f aca="false">$C$3-WEEKDAY($C$3,3)+315</f>
        <v>46643</v>
      </c>
      <c r="BK4" s="37" t="n">
        <f aca="false">$C$3-WEEKDAY($C$3,3)+322</f>
        <v>46650</v>
      </c>
      <c r="BL4" s="37" t="n">
        <f aca="false">$C$3-WEEKDAY($C$3,3)+329</f>
        <v>46657</v>
      </c>
      <c r="BM4" s="37" t="n">
        <f aca="false">$C$3-WEEKDAY($C$3,3)+336</f>
        <v>46664</v>
      </c>
      <c r="BN4" s="37" t="n">
        <f aca="false">$C$3-WEEKDAY($C$3,3)+343</f>
        <v>46671</v>
      </c>
      <c r="BO4" s="37" t="n">
        <f aca="false">$C$3-WEEKDAY($C$3,3)+350</f>
        <v>46678</v>
      </c>
      <c r="BP4" s="37" t="n">
        <f aca="false">$C$3-WEEKDAY($C$3,3)+357</f>
        <v>46685</v>
      </c>
    </row>
    <row r="5" customFormat="false" ht="15" hidden="false" customHeight="false" outlineLevel="0" collapsed="false">
      <c r="A5" s="38" t="n">
        <v>1</v>
      </c>
      <c r="B5" s="39" t="s">
        <v>98</v>
      </c>
      <c r="C5" s="39" t="s">
        <v>2</v>
      </c>
      <c r="D5" s="39" t="s">
        <v>83</v>
      </c>
      <c r="E5" s="39" t="s">
        <v>99</v>
      </c>
      <c r="F5" s="39"/>
      <c r="G5" s="40"/>
      <c r="H5" s="41" t="n">
        <v>46328</v>
      </c>
      <c r="I5" s="42" t="n">
        <f aca="false">MAX(I6:I64)</f>
        <v>46524</v>
      </c>
      <c r="J5" s="41" t="n">
        <v>46328</v>
      </c>
      <c r="K5" s="41" t="n">
        <v>46524</v>
      </c>
      <c r="L5" s="43" t="n">
        <f aca="false">IF(OR(I5="",K5=""),"",IF(I5&gt;=K5,NETWORKDAYS(K5,I5)-1,-(NETWORKDAYS(I5,K5)-1)))</f>
        <v>0</v>
      </c>
      <c r="M5" s="44" t="n">
        <v>0</v>
      </c>
      <c r="N5" s="39" t="s">
        <v>100</v>
      </c>
      <c r="O5" s="38" t="s">
        <v>101</v>
      </c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</row>
    <row r="6" customFormat="false" ht="15" hidden="false" customHeight="false" outlineLevel="0" collapsed="false">
      <c r="A6" s="46" t="n">
        <v>2</v>
      </c>
      <c r="B6" s="47" t="s">
        <v>102</v>
      </c>
      <c r="C6" s="47" t="s">
        <v>103</v>
      </c>
      <c r="D6" s="47" t="s">
        <v>83</v>
      </c>
      <c r="E6" s="47" t="s">
        <v>99</v>
      </c>
      <c r="F6" s="47"/>
      <c r="G6" s="48"/>
      <c r="H6" s="49" t="n">
        <v>46328</v>
      </c>
      <c r="I6" s="42" t="n">
        <f aca="false">MAX(I7:I9)</f>
        <v>46357</v>
      </c>
      <c r="J6" s="49" t="n">
        <v>46328</v>
      </c>
      <c r="K6" s="49" t="n">
        <v>46357</v>
      </c>
      <c r="L6" s="43" t="n">
        <f aca="false">IF(OR(I6="",K6=""),"",IF(I6&gt;=K6,NETWORKDAYS(K6,I6)-1,-(NETWORKDAYS(I6,K6)-1)))</f>
        <v>0</v>
      </c>
      <c r="M6" s="50" t="n">
        <v>0</v>
      </c>
      <c r="N6" s="47" t="s">
        <v>100</v>
      </c>
      <c r="O6" s="46" t="s">
        <v>101</v>
      </c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</row>
    <row r="7" customFormat="false" ht="15" hidden="false" customHeight="false" outlineLevel="0" collapsed="false">
      <c r="A7" s="51" t="n">
        <v>3</v>
      </c>
      <c r="B7" s="52" t="s">
        <v>104</v>
      </c>
      <c r="C7" s="52" t="s">
        <v>105</v>
      </c>
      <c r="D7" s="52" t="s">
        <v>66</v>
      </c>
      <c r="E7" s="52" t="s">
        <v>106</v>
      </c>
      <c r="F7" s="52"/>
      <c r="G7" s="53" t="n">
        <v>0</v>
      </c>
      <c r="H7" s="54" t="n">
        <v>46328</v>
      </c>
      <c r="I7" s="55" t="n">
        <f aca="false">IF(H7="","",IF(N(G7)=0,H7,WORKDAY(H7,G7-1)))</f>
        <v>46328</v>
      </c>
      <c r="J7" s="54" t="n">
        <v>46328</v>
      </c>
      <c r="K7" s="54" t="n">
        <v>46328</v>
      </c>
      <c r="L7" s="56" t="n">
        <f aca="false">IF(OR(I7="",K7=""),"",IF(I7&gt;=K7,NETWORKDAYS(K7,I7)-1,-(NETWORKDAYS(I7,K7)-1)))</f>
        <v>0</v>
      </c>
      <c r="M7" s="57" t="n">
        <v>0</v>
      </c>
      <c r="N7" s="52" t="s">
        <v>100</v>
      </c>
      <c r="O7" s="51" t="s">
        <v>101</v>
      </c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</row>
    <row r="8" customFormat="false" ht="15" hidden="false" customHeight="false" outlineLevel="0" collapsed="false">
      <c r="A8" s="58" t="n">
        <v>4</v>
      </c>
      <c r="B8" s="59" t="s">
        <v>107</v>
      </c>
      <c r="C8" s="59" t="s">
        <v>108</v>
      </c>
      <c r="D8" s="59" t="s">
        <v>81</v>
      </c>
      <c r="E8" s="59" t="s">
        <v>99</v>
      </c>
      <c r="F8" s="59" t="s">
        <v>109</v>
      </c>
      <c r="G8" s="60" t="n">
        <v>20</v>
      </c>
      <c r="H8" s="61" t="n">
        <v>46329</v>
      </c>
      <c r="I8" s="55" t="n">
        <f aca="false">IF(H8="","",IF(N(G8)=0,H8,WORKDAY(H8,G8-1)))</f>
        <v>46356</v>
      </c>
      <c r="J8" s="61" t="n">
        <v>46329</v>
      </c>
      <c r="K8" s="61" t="n">
        <v>46356</v>
      </c>
      <c r="L8" s="56" t="n">
        <f aca="false">IF(OR(I8="",K8=""),"",IF(I8&gt;=K8,NETWORKDAYS(K8,I8)-1,-(NETWORKDAYS(I8,K8)-1)))</f>
        <v>0</v>
      </c>
      <c r="M8" s="62" t="n">
        <v>0</v>
      </c>
      <c r="N8" s="59" t="s">
        <v>100</v>
      </c>
      <c r="O8" s="58" t="s">
        <v>101</v>
      </c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</row>
    <row r="9" customFormat="false" ht="23.85" hidden="false" customHeight="false" outlineLevel="0" collapsed="false">
      <c r="A9" s="51" t="n">
        <v>5</v>
      </c>
      <c r="B9" s="52" t="s">
        <v>107</v>
      </c>
      <c r="C9" s="52" t="s">
        <v>110</v>
      </c>
      <c r="D9" s="52" t="s">
        <v>66</v>
      </c>
      <c r="E9" s="52" t="s">
        <v>111</v>
      </c>
      <c r="F9" s="52" t="s">
        <v>112</v>
      </c>
      <c r="G9" s="53" t="n">
        <v>0</v>
      </c>
      <c r="H9" s="54" t="n">
        <v>46357</v>
      </c>
      <c r="I9" s="55" t="n">
        <f aca="false">IF(H9="","",IF(N(G9)=0,H9,WORKDAY(H9,G9-1)))</f>
        <v>46357</v>
      </c>
      <c r="J9" s="54" t="n">
        <v>46357</v>
      </c>
      <c r="K9" s="54" t="n">
        <v>46357</v>
      </c>
      <c r="L9" s="56" t="n">
        <f aca="false">IF(OR(I9="",K9=""),"",IF(I9&gt;=K9,NETWORKDAYS(K9,I9)-1,-(NETWORKDAYS(I9,K9)-1)))</f>
        <v>0</v>
      </c>
      <c r="M9" s="57" t="n">
        <v>0</v>
      </c>
      <c r="N9" s="52" t="s">
        <v>100</v>
      </c>
      <c r="O9" s="51" t="s">
        <v>101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</row>
    <row r="10" customFormat="false" ht="15" hidden="false" customHeight="false" outlineLevel="0" collapsed="false">
      <c r="A10" s="46" t="n">
        <v>6</v>
      </c>
      <c r="B10" s="47" t="s">
        <v>113</v>
      </c>
      <c r="C10" s="47" t="s">
        <v>114</v>
      </c>
      <c r="D10" s="47" t="s">
        <v>83</v>
      </c>
      <c r="E10" s="47" t="s">
        <v>115</v>
      </c>
      <c r="F10" s="47"/>
      <c r="G10" s="48"/>
      <c r="H10" s="49" t="n">
        <v>46335</v>
      </c>
      <c r="I10" s="42" t="n">
        <f aca="false">MAX(I11:I12)</f>
        <v>46374</v>
      </c>
      <c r="J10" s="49" t="n">
        <v>46335</v>
      </c>
      <c r="K10" s="49" t="n">
        <v>46374</v>
      </c>
      <c r="L10" s="43" t="n">
        <f aca="false">IF(OR(I10="",K10=""),"",IF(I10&gt;=K10,NETWORKDAYS(K10,I10)-1,-(NETWORKDAYS(I10,K10)-1)))</f>
        <v>0</v>
      </c>
      <c r="M10" s="50" t="n">
        <v>0</v>
      </c>
      <c r="N10" s="47" t="s">
        <v>100</v>
      </c>
      <c r="O10" s="46" t="s">
        <v>101</v>
      </c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</row>
    <row r="11" customFormat="false" ht="15" hidden="false" customHeight="false" outlineLevel="0" collapsed="false">
      <c r="A11" s="51" t="n">
        <v>7</v>
      </c>
      <c r="B11" s="52" t="s">
        <v>116</v>
      </c>
      <c r="C11" s="52" t="s">
        <v>117</v>
      </c>
      <c r="D11" s="52" t="s">
        <v>81</v>
      </c>
      <c r="E11" s="52" t="s">
        <v>115</v>
      </c>
      <c r="F11" s="52" t="s">
        <v>109</v>
      </c>
      <c r="G11" s="53" t="n">
        <v>15</v>
      </c>
      <c r="H11" s="54" t="n">
        <v>46335</v>
      </c>
      <c r="I11" s="55" t="n">
        <f aca="false">IF(H11="","",IF(N(G11)=0,H11,WORKDAY(H11,G11-1)))</f>
        <v>46353</v>
      </c>
      <c r="J11" s="54" t="n">
        <v>46335</v>
      </c>
      <c r="K11" s="54" t="n">
        <v>46353</v>
      </c>
      <c r="L11" s="56" t="n">
        <f aca="false">IF(OR(I11="",K11=""),"",IF(I11&gt;=K11,NETWORKDAYS(K11,I11)-1,-(NETWORKDAYS(I11,K11)-1)))</f>
        <v>0</v>
      </c>
      <c r="M11" s="57" t="n">
        <v>0</v>
      </c>
      <c r="N11" s="52" t="s">
        <v>100</v>
      </c>
      <c r="O11" s="51" t="s">
        <v>101</v>
      </c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</row>
    <row r="12" customFormat="false" ht="15" hidden="false" customHeight="false" outlineLevel="0" collapsed="false">
      <c r="A12" s="58" t="n">
        <v>8</v>
      </c>
      <c r="B12" s="59" t="s">
        <v>118</v>
      </c>
      <c r="C12" s="59" t="s">
        <v>119</v>
      </c>
      <c r="D12" s="59" t="s">
        <v>81</v>
      </c>
      <c r="E12" s="59" t="s">
        <v>115</v>
      </c>
      <c r="F12" s="59" t="s">
        <v>120</v>
      </c>
      <c r="G12" s="60" t="n">
        <v>15</v>
      </c>
      <c r="H12" s="61" t="n">
        <v>46356</v>
      </c>
      <c r="I12" s="55" t="n">
        <f aca="false">IF(H12="","",IF(N(G12)=0,H12,WORKDAY(H12,G12-1)))</f>
        <v>46374</v>
      </c>
      <c r="J12" s="61" t="n">
        <v>46356</v>
      </c>
      <c r="K12" s="61" t="n">
        <v>46374</v>
      </c>
      <c r="L12" s="56" t="n">
        <f aca="false">IF(OR(I12="",K12=""),"",IF(I12&gt;=K12,NETWORKDAYS(K12,I12)-1,-(NETWORKDAYS(I12,K12)-1)))</f>
        <v>0</v>
      </c>
      <c r="M12" s="62" t="n">
        <v>0</v>
      </c>
      <c r="N12" s="59" t="s">
        <v>100</v>
      </c>
      <c r="O12" s="58" t="s">
        <v>101</v>
      </c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</row>
    <row r="13" customFormat="false" ht="15" hidden="false" customHeight="false" outlineLevel="0" collapsed="false">
      <c r="A13" s="38" t="n">
        <v>9</v>
      </c>
      <c r="B13" s="39" t="s">
        <v>121</v>
      </c>
      <c r="C13" s="39" t="s">
        <v>122</v>
      </c>
      <c r="D13" s="39" t="s">
        <v>83</v>
      </c>
      <c r="E13" s="39" t="s">
        <v>123</v>
      </c>
      <c r="F13" s="39"/>
      <c r="G13" s="40"/>
      <c r="H13" s="41" t="n">
        <v>46377</v>
      </c>
      <c r="I13" s="42" t="n">
        <f aca="false">MAX(I14:I15)</f>
        <v>46409</v>
      </c>
      <c r="J13" s="41" t="n">
        <v>46377</v>
      </c>
      <c r="K13" s="41" t="n">
        <v>46409</v>
      </c>
      <c r="L13" s="43" t="n">
        <f aca="false">IF(OR(I13="",K13=""),"",IF(I13&gt;=K13,NETWORKDAYS(K13,I13)-1,-(NETWORKDAYS(I13,K13)-1)))</f>
        <v>0</v>
      </c>
      <c r="M13" s="44" t="n">
        <v>0</v>
      </c>
      <c r="N13" s="39" t="s">
        <v>100</v>
      </c>
      <c r="O13" s="38" t="s">
        <v>101</v>
      </c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</row>
    <row r="14" customFormat="false" ht="15" hidden="false" customHeight="false" outlineLevel="0" collapsed="false">
      <c r="A14" s="58" t="n">
        <v>10</v>
      </c>
      <c r="B14" s="59" t="s">
        <v>124</v>
      </c>
      <c r="C14" s="59" t="s">
        <v>125</v>
      </c>
      <c r="D14" s="59" t="s">
        <v>81</v>
      </c>
      <c r="E14" s="59" t="s">
        <v>123</v>
      </c>
      <c r="F14" s="59" t="s">
        <v>126</v>
      </c>
      <c r="G14" s="60" t="n">
        <v>10</v>
      </c>
      <c r="H14" s="61" t="n">
        <v>46377</v>
      </c>
      <c r="I14" s="55" t="n">
        <f aca="false">IF(H14="","",IF(N(G14)=0,H14,WORKDAY(H14,G14-1)))</f>
        <v>46388</v>
      </c>
      <c r="J14" s="61" t="n">
        <v>46377</v>
      </c>
      <c r="K14" s="61" t="n">
        <v>46388</v>
      </c>
      <c r="L14" s="56" t="n">
        <f aca="false">IF(OR(I14="",K14=""),"",IF(I14&gt;=K14,NETWORKDAYS(K14,I14)-1,-(NETWORKDAYS(I14,K14)-1)))</f>
        <v>0</v>
      </c>
      <c r="M14" s="62" t="n">
        <v>0</v>
      </c>
      <c r="N14" s="59" t="s">
        <v>100</v>
      </c>
      <c r="O14" s="58" t="s">
        <v>101</v>
      </c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</row>
    <row r="15" customFormat="false" ht="15" hidden="false" customHeight="false" outlineLevel="0" collapsed="false">
      <c r="A15" s="51" t="n">
        <v>11</v>
      </c>
      <c r="B15" s="52" t="s">
        <v>127</v>
      </c>
      <c r="C15" s="52" t="s">
        <v>128</v>
      </c>
      <c r="D15" s="52" t="s">
        <v>81</v>
      </c>
      <c r="E15" s="52" t="s">
        <v>123</v>
      </c>
      <c r="F15" s="52" t="s">
        <v>129</v>
      </c>
      <c r="G15" s="53" t="n">
        <v>15</v>
      </c>
      <c r="H15" s="54" t="n">
        <v>46391</v>
      </c>
      <c r="I15" s="55" t="n">
        <f aca="false">IF(H15="","",IF(N(G15)=0,H15,WORKDAY(H15,G15-1)))</f>
        <v>46409</v>
      </c>
      <c r="J15" s="54" t="n">
        <v>46391</v>
      </c>
      <c r="K15" s="54" t="n">
        <v>46409</v>
      </c>
      <c r="L15" s="56" t="n">
        <f aca="false">IF(OR(I15="",K15=""),"",IF(I15&gt;=K15,NETWORKDAYS(K15,I15)-1,-(NETWORKDAYS(I15,K15)-1)))</f>
        <v>0</v>
      </c>
      <c r="M15" s="57" t="n">
        <v>0</v>
      </c>
      <c r="N15" s="52" t="s">
        <v>100</v>
      </c>
      <c r="O15" s="51" t="s">
        <v>101</v>
      </c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</row>
    <row r="16" customFormat="false" ht="15" hidden="false" customHeight="false" outlineLevel="0" collapsed="false">
      <c r="A16" s="58" t="n">
        <v>12</v>
      </c>
      <c r="B16" s="59" t="s">
        <v>130</v>
      </c>
      <c r="C16" s="59" t="s">
        <v>131</v>
      </c>
      <c r="D16" s="59" t="s">
        <v>81</v>
      </c>
      <c r="E16" s="59" t="s">
        <v>132</v>
      </c>
      <c r="F16" s="59" t="s">
        <v>133</v>
      </c>
      <c r="G16" s="60" t="n">
        <v>40</v>
      </c>
      <c r="H16" s="61" t="n">
        <v>46412</v>
      </c>
      <c r="I16" s="55" t="n">
        <f aca="false">IF(H16="","",IF(N(G16)=0,H16,WORKDAY(H16,G16-1)))</f>
        <v>46465</v>
      </c>
      <c r="J16" s="61" t="n">
        <v>46412</v>
      </c>
      <c r="K16" s="61" t="n">
        <v>46465</v>
      </c>
      <c r="L16" s="56" t="n">
        <f aca="false">IF(OR(I16="",K16=""),"",IF(I16&gt;=K16,NETWORKDAYS(K16,I16)-1,-(NETWORKDAYS(I16,K16)-1)))</f>
        <v>0</v>
      </c>
      <c r="M16" s="62" t="n">
        <v>0</v>
      </c>
      <c r="N16" s="59" t="s">
        <v>100</v>
      </c>
      <c r="O16" s="58" t="s">
        <v>101</v>
      </c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</row>
    <row r="17" customFormat="false" ht="15" hidden="false" customHeight="false" outlineLevel="0" collapsed="false">
      <c r="A17" s="51" t="n">
        <v>13</v>
      </c>
      <c r="B17" s="52" t="s">
        <v>134</v>
      </c>
      <c r="C17" s="52" t="s">
        <v>135</v>
      </c>
      <c r="D17" s="52" t="s">
        <v>81</v>
      </c>
      <c r="E17" s="52" t="s">
        <v>136</v>
      </c>
      <c r="F17" s="52" t="s">
        <v>137</v>
      </c>
      <c r="G17" s="53" t="n">
        <v>20</v>
      </c>
      <c r="H17" s="54" t="n">
        <v>46468</v>
      </c>
      <c r="I17" s="55" t="n">
        <f aca="false">IF(H17="","",IF(N(G17)=0,H17,WORKDAY(H17,G17-1)))</f>
        <v>46493</v>
      </c>
      <c r="J17" s="54" t="n">
        <v>46468</v>
      </c>
      <c r="K17" s="54" t="n">
        <v>46493</v>
      </c>
      <c r="L17" s="56" t="n">
        <f aca="false">IF(OR(I17="",K17=""),"",IF(I17&gt;=K17,NETWORKDAYS(K17,I17)-1,-(NETWORKDAYS(I17,K17)-1)))</f>
        <v>0</v>
      </c>
      <c r="M17" s="57" t="n">
        <v>0</v>
      </c>
      <c r="N17" s="52" t="s">
        <v>100</v>
      </c>
      <c r="O17" s="51" t="s">
        <v>101</v>
      </c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</row>
    <row r="18" customFormat="false" ht="23.85" hidden="false" customHeight="false" outlineLevel="0" collapsed="false">
      <c r="A18" s="58" t="n">
        <v>14</v>
      </c>
      <c r="B18" s="59" t="s">
        <v>138</v>
      </c>
      <c r="C18" s="59" t="s">
        <v>139</v>
      </c>
      <c r="D18" s="59" t="s">
        <v>66</v>
      </c>
      <c r="E18" s="59" t="s">
        <v>140</v>
      </c>
      <c r="F18" s="59" t="s">
        <v>141</v>
      </c>
      <c r="G18" s="60" t="n">
        <v>0</v>
      </c>
      <c r="H18" s="61" t="n">
        <v>46496</v>
      </c>
      <c r="I18" s="55" t="n">
        <f aca="false">IF(H18="","",IF(N(G18)=0,H18,WORKDAY(H18,G18-1)))</f>
        <v>46496</v>
      </c>
      <c r="J18" s="61" t="n">
        <v>46496</v>
      </c>
      <c r="K18" s="61" t="n">
        <v>46496</v>
      </c>
      <c r="L18" s="56" t="n">
        <f aca="false">IF(OR(I18="",K18=""),"",IF(I18&gt;=K18,NETWORKDAYS(K18,I18)-1,-(NETWORKDAYS(I18,K18)-1)))</f>
        <v>0</v>
      </c>
      <c r="M18" s="62" t="n">
        <v>0</v>
      </c>
      <c r="N18" s="59" t="s">
        <v>100</v>
      </c>
      <c r="O18" s="58" t="s">
        <v>101</v>
      </c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</row>
    <row r="19" customFormat="false" ht="15" hidden="false" customHeight="false" outlineLevel="0" collapsed="false">
      <c r="A19" s="51" t="n">
        <v>15</v>
      </c>
      <c r="B19" s="52" t="s">
        <v>142</v>
      </c>
      <c r="C19" s="52" t="s">
        <v>143</v>
      </c>
      <c r="D19" s="52" t="s">
        <v>81</v>
      </c>
      <c r="E19" s="52" t="s">
        <v>99</v>
      </c>
      <c r="F19" s="52" t="s">
        <v>144</v>
      </c>
      <c r="G19" s="53" t="n">
        <v>15</v>
      </c>
      <c r="H19" s="54" t="n">
        <v>46497</v>
      </c>
      <c r="I19" s="55" t="n">
        <f aca="false">IF(H19="","",IF(N(G19)=0,H19,WORKDAY(H19,G19-1)))</f>
        <v>46517</v>
      </c>
      <c r="J19" s="54" t="n">
        <v>46497</v>
      </c>
      <c r="K19" s="54" t="n">
        <v>46517</v>
      </c>
      <c r="L19" s="56" t="n">
        <f aca="false">IF(OR(I19="",K19=""),"",IF(I19&gt;=K19,NETWORKDAYS(K19,I19)-1,-(NETWORKDAYS(I19,K19)-1)))</f>
        <v>0</v>
      </c>
      <c r="M19" s="57" t="n">
        <v>0</v>
      </c>
      <c r="N19" s="52" t="s">
        <v>100</v>
      </c>
      <c r="O19" s="51" t="s">
        <v>101</v>
      </c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</row>
    <row r="20" customFormat="false" ht="15" hidden="false" customHeight="false" outlineLevel="0" collapsed="false">
      <c r="A20" s="58" t="n">
        <v>16</v>
      </c>
      <c r="B20" s="59" t="s">
        <v>145</v>
      </c>
      <c r="C20" s="59" t="s">
        <v>146</v>
      </c>
      <c r="D20" s="59" t="s">
        <v>66</v>
      </c>
      <c r="E20" s="59" t="s">
        <v>106</v>
      </c>
      <c r="F20" s="59" t="s">
        <v>147</v>
      </c>
      <c r="G20" s="60" t="n">
        <v>0</v>
      </c>
      <c r="H20" s="61" t="n">
        <v>46524</v>
      </c>
      <c r="I20" s="55" t="n">
        <f aca="false">IF(H20="","",IF(N(G20)=0,H20,WORKDAY(H20,G20-1)))</f>
        <v>46524</v>
      </c>
      <c r="J20" s="61" t="n">
        <v>46524</v>
      </c>
      <c r="K20" s="61" t="n">
        <v>46524</v>
      </c>
      <c r="L20" s="56" t="n">
        <f aca="false">IF(OR(I20="",K20=""),"",IF(I20&gt;=K20,NETWORKDAYS(K20,I20)-1,-(NETWORKDAYS(I20,K20)-1)))</f>
        <v>0</v>
      </c>
      <c r="M20" s="62" t="n">
        <v>0</v>
      </c>
      <c r="N20" s="59" t="s">
        <v>100</v>
      </c>
      <c r="O20" s="58" t="s">
        <v>101</v>
      </c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</row>
    <row r="21" customFormat="false" ht="15" hidden="false" customHeight="false" outlineLevel="0" collapsed="false">
      <c r="A21" s="51"/>
      <c r="B21" s="52"/>
      <c r="C21" s="52"/>
      <c r="D21" s="52"/>
      <c r="E21" s="52"/>
      <c r="F21" s="52"/>
      <c r="G21" s="53"/>
      <c r="H21" s="54"/>
      <c r="I21" s="55" t="str">
        <f aca="false">IF(H21="","",IF(N(G21)=0,H21,WORKDAY(H21,G21-1)))</f>
        <v/>
      </c>
      <c r="J21" s="54"/>
      <c r="K21" s="54"/>
      <c r="L21" s="56" t="str">
        <f aca="false">IF(OR(I21="",K21=""),"",IF(I21&gt;=K21,NETWORKDAYS(K21,I21)-1,-(NETWORKDAYS(I21,K21)-1)))</f>
        <v/>
      </c>
      <c r="M21" s="57"/>
      <c r="N21" s="52"/>
      <c r="O21" s="51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</row>
    <row r="22" customFormat="false" ht="15" hidden="false" customHeight="false" outlineLevel="0" collapsed="false">
      <c r="A22" s="58"/>
      <c r="B22" s="59"/>
      <c r="C22" s="59"/>
      <c r="D22" s="59"/>
      <c r="E22" s="59"/>
      <c r="F22" s="59"/>
      <c r="G22" s="60"/>
      <c r="H22" s="61"/>
      <c r="I22" s="55" t="str">
        <f aca="false">IF(H22="","",IF(N(G22)=0,H22,WORKDAY(H22,G22-1)))</f>
        <v/>
      </c>
      <c r="J22" s="61"/>
      <c r="K22" s="61"/>
      <c r="L22" s="56" t="str">
        <f aca="false">IF(OR(I22="",K22=""),"",IF(I22&gt;=K22,NETWORKDAYS(K22,I22)-1,-(NETWORKDAYS(I22,K22)-1)))</f>
        <v/>
      </c>
      <c r="M22" s="62"/>
      <c r="N22" s="59"/>
      <c r="O22" s="58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</row>
    <row r="23" customFormat="false" ht="15" hidden="false" customHeight="false" outlineLevel="0" collapsed="false">
      <c r="A23" s="51"/>
      <c r="B23" s="52"/>
      <c r="C23" s="52"/>
      <c r="D23" s="52"/>
      <c r="E23" s="52"/>
      <c r="F23" s="52"/>
      <c r="G23" s="53"/>
      <c r="H23" s="54"/>
      <c r="I23" s="55" t="str">
        <f aca="false">IF(H23="","",IF(N(G23)=0,H23,WORKDAY(H23,G23-1)))</f>
        <v/>
      </c>
      <c r="J23" s="54"/>
      <c r="K23" s="54"/>
      <c r="L23" s="56" t="str">
        <f aca="false">IF(OR(I23="",K23=""),"",IF(I23&gt;=K23,NETWORKDAYS(K23,I23)-1,-(NETWORKDAYS(I23,K23)-1)))</f>
        <v/>
      </c>
      <c r="M23" s="57"/>
      <c r="N23" s="52"/>
      <c r="O23" s="51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</row>
    <row r="24" customFormat="false" ht="15" hidden="false" customHeight="false" outlineLevel="0" collapsed="false">
      <c r="A24" s="58"/>
      <c r="B24" s="59"/>
      <c r="C24" s="59"/>
      <c r="D24" s="59"/>
      <c r="E24" s="59"/>
      <c r="F24" s="59"/>
      <c r="G24" s="60"/>
      <c r="H24" s="61"/>
      <c r="I24" s="55" t="str">
        <f aca="false">IF(H24="","",IF(N(G24)=0,H24,WORKDAY(H24,G24-1)))</f>
        <v/>
      </c>
      <c r="J24" s="61"/>
      <c r="K24" s="61"/>
      <c r="L24" s="56" t="str">
        <f aca="false">IF(OR(I24="",K24=""),"",IF(I24&gt;=K24,NETWORKDAYS(K24,I24)-1,-(NETWORKDAYS(I24,K24)-1)))</f>
        <v/>
      </c>
      <c r="M24" s="62"/>
      <c r="N24" s="59"/>
      <c r="O24" s="58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  <c r="BO24" s="45"/>
      <c r="BP24" s="45"/>
    </row>
    <row r="25" customFormat="false" ht="15" hidden="false" customHeight="false" outlineLevel="0" collapsed="false">
      <c r="A25" s="51"/>
      <c r="B25" s="52"/>
      <c r="C25" s="52"/>
      <c r="D25" s="52"/>
      <c r="E25" s="52"/>
      <c r="F25" s="52"/>
      <c r="G25" s="53"/>
      <c r="H25" s="54"/>
      <c r="I25" s="55" t="str">
        <f aca="false">IF(H25="","",IF(N(G25)=0,H25,WORKDAY(H25,G25-1)))</f>
        <v/>
      </c>
      <c r="J25" s="54"/>
      <c r="K25" s="54"/>
      <c r="L25" s="56" t="str">
        <f aca="false">IF(OR(I25="",K25=""),"",IF(I25&gt;=K25,NETWORKDAYS(K25,I25)-1,-(NETWORKDAYS(I25,K25)-1)))</f>
        <v/>
      </c>
      <c r="M25" s="57"/>
      <c r="N25" s="52"/>
      <c r="O25" s="51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5"/>
      <c r="BN25" s="45"/>
      <c r="BO25" s="45"/>
      <c r="BP25" s="45"/>
    </row>
    <row r="26" customFormat="false" ht="15" hidden="false" customHeight="false" outlineLevel="0" collapsed="false">
      <c r="A26" s="58"/>
      <c r="B26" s="59"/>
      <c r="C26" s="59"/>
      <c r="D26" s="59"/>
      <c r="E26" s="59"/>
      <c r="F26" s="59"/>
      <c r="G26" s="60"/>
      <c r="H26" s="61"/>
      <c r="I26" s="55" t="str">
        <f aca="false">IF(H26="","",IF(N(G26)=0,H26,WORKDAY(H26,G26-1)))</f>
        <v/>
      </c>
      <c r="J26" s="61"/>
      <c r="K26" s="61"/>
      <c r="L26" s="56" t="str">
        <f aca="false">IF(OR(I26="",K26=""),"",IF(I26&gt;=K26,NETWORKDAYS(K26,I26)-1,-(NETWORKDAYS(I26,K26)-1)))</f>
        <v/>
      </c>
      <c r="M26" s="62"/>
      <c r="N26" s="59"/>
      <c r="O26" s="58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  <c r="BP26" s="45"/>
    </row>
    <row r="27" customFormat="false" ht="15" hidden="false" customHeight="false" outlineLevel="0" collapsed="false">
      <c r="A27" s="51"/>
      <c r="B27" s="52"/>
      <c r="C27" s="52"/>
      <c r="D27" s="52"/>
      <c r="E27" s="52"/>
      <c r="F27" s="52"/>
      <c r="G27" s="53"/>
      <c r="H27" s="54"/>
      <c r="I27" s="55" t="str">
        <f aca="false">IF(H27="","",IF(N(G27)=0,H27,WORKDAY(H27,G27-1)))</f>
        <v/>
      </c>
      <c r="J27" s="54"/>
      <c r="K27" s="54"/>
      <c r="L27" s="56" t="str">
        <f aca="false">IF(OR(I27="",K27=""),"",IF(I27&gt;=K27,NETWORKDAYS(K27,I27)-1,-(NETWORKDAYS(I27,K27)-1)))</f>
        <v/>
      </c>
      <c r="M27" s="57"/>
      <c r="N27" s="52"/>
      <c r="O27" s="51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45"/>
      <c r="BM27" s="45"/>
      <c r="BN27" s="45"/>
      <c r="BO27" s="45"/>
      <c r="BP27" s="45"/>
    </row>
    <row r="28" customFormat="false" ht="15" hidden="false" customHeight="false" outlineLevel="0" collapsed="false">
      <c r="A28" s="58"/>
      <c r="B28" s="59"/>
      <c r="C28" s="59"/>
      <c r="D28" s="59"/>
      <c r="E28" s="59"/>
      <c r="F28" s="59"/>
      <c r="G28" s="60"/>
      <c r="H28" s="61"/>
      <c r="I28" s="55" t="str">
        <f aca="false">IF(H28="","",IF(N(G28)=0,H28,WORKDAY(H28,G28-1)))</f>
        <v/>
      </c>
      <c r="J28" s="61"/>
      <c r="K28" s="61"/>
      <c r="L28" s="56" t="str">
        <f aca="false">IF(OR(I28="",K28=""),"",IF(I28&gt;=K28,NETWORKDAYS(K28,I28)-1,-(NETWORKDAYS(I28,K28)-1)))</f>
        <v/>
      </c>
      <c r="M28" s="62"/>
      <c r="N28" s="59"/>
      <c r="O28" s="58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/>
      <c r="BN28" s="45"/>
      <c r="BO28" s="45"/>
      <c r="BP28" s="45"/>
    </row>
    <row r="29" customFormat="false" ht="15" hidden="false" customHeight="false" outlineLevel="0" collapsed="false">
      <c r="A29" s="51"/>
      <c r="B29" s="52"/>
      <c r="C29" s="52"/>
      <c r="D29" s="52"/>
      <c r="E29" s="52"/>
      <c r="F29" s="52"/>
      <c r="G29" s="53"/>
      <c r="H29" s="54"/>
      <c r="I29" s="55" t="str">
        <f aca="false">IF(H29="","",IF(N(G29)=0,H29,WORKDAY(H29,G29-1)))</f>
        <v/>
      </c>
      <c r="J29" s="54"/>
      <c r="K29" s="54"/>
      <c r="L29" s="56" t="str">
        <f aca="false">IF(OR(I29="",K29=""),"",IF(I29&gt;=K29,NETWORKDAYS(K29,I29)-1,-(NETWORKDAYS(I29,K29)-1)))</f>
        <v/>
      </c>
      <c r="M29" s="57"/>
      <c r="N29" s="52"/>
      <c r="O29" s="51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45"/>
      <c r="BL29" s="45"/>
      <c r="BM29" s="45"/>
      <c r="BN29" s="45"/>
      <c r="BO29" s="45"/>
      <c r="BP29" s="45"/>
    </row>
    <row r="30" customFormat="false" ht="15" hidden="false" customHeight="false" outlineLevel="0" collapsed="false">
      <c r="A30" s="58"/>
      <c r="B30" s="59"/>
      <c r="C30" s="59"/>
      <c r="D30" s="59"/>
      <c r="E30" s="59"/>
      <c r="F30" s="59"/>
      <c r="G30" s="60"/>
      <c r="H30" s="61"/>
      <c r="I30" s="55" t="str">
        <f aca="false">IF(H30="","",IF(N(G30)=0,H30,WORKDAY(H30,G30-1)))</f>
        <v/>
      </c>
      <c r="J30" s="61"/>
      <c r="K30" s="61"/>
      <c r="L30" s="56" t="str">
        <f aca="false">IF(OR(I30="",K30=""),"",IF(I30&gt;=K30,NETWORKDAYS(K30,I30)-1,-(NETWORKDAYS(I30,K30)-1)))</f>
        <v/>
      </c>
      <c r="M30" s="62"/>
      <c r="N30" s="59"/>
      <c r="O30" s="58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  <c r="BP30" s="45"/>
    </row>
    <row r="31" customFormat="false" ht="15" hidden="false" customHeight="false" outlineLevel="0" collapsed="false">
      <c r="A31" s="51"/>
      <c r="B31" s="52"/>
      <c r="C31" s="52"/>
      <c r="D31" s="52"/>
      <c r="E31" s="52"/>
      <c r="F31" s="52"/>
      <c r="G31" s="53"/>
      <c r="H31" s="54"/>
      <c r="I31" s="55" t="str">
        <f aca="false">IF(H31="","",IF(N(G31)=0,H31,WORKDAY(H31,G31-1)))</f>
        <v/>
      </c>
      <c r="J31" s="54"/>
      <c r="K31" s="54"/>
      <c r="L31" s="56" t="str">
        <f aca="false">IF(OR(I31="",K31=""),"",IF(I31&gt;=K31,NETWORKDAYS(K31,I31)-1,-(NETWORKDAYS(I31,K31)-1)))</f>
        <v/>
      </c>
      <c r="M31" s="57"/>
      <c r="N31" s="52"/>
      <c r="O31" s="51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45"/>
      <c r="BL31" s="45"/>
      <c r="BM31" s="45"/>
      <c r="BN31" s="45"/>
      <c r="BO31" s="45"/>
      <c r="BP31" s="45"/>
    </row>
    <row r="32" customFormat="false" ht="15" hidden="false" customHeight="false" outlineLevel="0" collapsed="false">
      <c r="A32" s="58"/>
      <c r="B32" s="59"/>
      <c r="C32" s="59"/>
      <c r="D32" s="59"/>
      <c r="E32" s="59"/>
      <c r="F32" s="59"/>
      <c r="G32" s="60"/>
      <c r="H32" s="61"/>
      <c r="I32" s="55" t="str">
        <f aca="false">IF(H32="","",IF(N(G32)=0,H32,WORKDAY(H32,G32-1)))</f>
        <v/>
      </c>
      <c r="J32" s="61"/>
      <c r="K32" s="61"/>
      <c r="L32" s="56" t="str">
        <f aca="false">IF(OR(I32="",K32=""),"",IF(I32&gt;=K32,NETWORKDAYS(K32,I32)-1,-(NETWORKDAYS(I32,K32)-1)))</f>
        <v/>
      </c>
      <c r="M32" s="62"/>
      <c r="N32" s="59"/>
      <c r="O32" s="58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  <c r="BN32" s="45"/>
      <c r="BO32" s="45"/>
      <c r="BP32" s="45"/>
    </row>
    <row r="33" customFormat="false" ht="15" hidden="false" customHeight="false" outlineLevel="0" collapsed="false">
      <c r="A33" s="51"/>
      <c r="B33" s="52"/>
      <c r="C33" s="52"/>
      <c r="D33" s="52"/>
      <c r="E33" s="52"/>
      <c r="F33" s="52"/>
      <c r="G33" s="53"/>
      <c r="H33" s="54"/>
      <c r="I33" s="55" t="str">
        <f aca="false">IF(H33="","",IF(N(G33)=0,H33,WORKDAY(H33,G33-1)))</f>
        <v/>
      </c>
      <c r="J33" s="54"/>
      <c r="K33" s="54"/>
      <c r="L33" s="56" t="str">
        <f aca="false">IF(OR(I33="",K33=""),"",IF(I33&gt;=K33,NETWORKDAYS(K33,I33)-1,-(NETWORKDAYS(I33,K33)-1)))</f>
        <v/>
      </c>
      <c r="M33" s="57"/>
      <c r="N33" s="52"/>
      <c r="O33" s="51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</row>
    <row r="34" customFormat="false" ht="15" hidden="false" customHeight="false" outlineLevel="0" collapsed="false">
      <c r="A34" s="58"/>
      <c r="B34" s="59"/>
      <c r="C34" s="59"/>
      <c r="D34" s="59"/>
      <c r="E34" s="59"/>
      <c r="F34" s="59"/>
      <c r="G34" s="60"/>
      <c r="H34" s="61"/>
      <c r="I34" s="55" t="str">
        <f aca="false">IF(H34="","",IF(N(G34)=0,H34,WORKDAY(H34,G34-1)))</f>
        <v/>
      </c>
      <c r="J34" s="61"/>
      <c r="K34" s="61"/>
      <c r="L34" s="56" t="str">
        <f aca="false">IF(OR(I34="",K34=""),"",IF(I34&gt;=K34,NETWORKDAYS(K34,I34)-1,-(NETWORKDAYS(I34,K34)-1)))</f>
        <v/>
      </c>
      <c r="M34" s="62"/>
      <c r="N34" s="59"/>
      <c r="O34" s="58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  <c r="BP34" s="45"/>
    </row>
    <row r="35" customFormat="false" ht="15" hidden="false" customHeight="false" outlineLevel="0" collapsed="false">
      <c r="A35" s="51"/>
      <c r="B35" s="52"/>
      <c r="C35" s="52"/>
      <c r="D35" s="52"/>
      <c r="E35" s="52"/>
      <c r="F35" s="52"/>
      <c r="G35" s="53"/>
      <c r="H35" s="54"/>
      <c r="I35" s="55" t="str">
        <f aca="false">IF(H35="","",IF(N(G35)=0,H35,WORKDAY(H35,G35-1)))</f>
        <v/>
      </c>
      <c r="J35" s="54"/>
      <c r="K35" s="54"/>
      <c r="L35" s="56" t="str">
        <f aca="false">IF(OR(I35="",K35=""),"",IF(I35&gt;=K35,NETWORKDAYS(K35,I35)-1,-(NETWORKDAYS(I35,K35)-1)))</f>
        <v/>
      </c>
      <c r="M35" s="57"/>
      <c r="N35" s="52"/>
      <c r="O35" s="51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5"/>
      <c r="BP35" s="45"/>
    </row>
    <row r="36" customFormat="false" ht="15" hidden="false" customHeight="false" outlineLevel="0" collapsed="false">
      <c r="A36" s="58"/>
      <c r="B36" s="59"/>
      <c r="C36" s="59"/>
      <c r="D36" s="59"/>
      <c r="E36" s="59"/>
      <c r="F36" s="59"/>
      <c r="G36" s="60"/>
      <c r="H36" s="61"/>
      <c r="I36" s="55" t="str">
        <f aca="false">IF(H36="","",IF(N(G36)=0,H36,WORKDAY(H36,G36-1)))</f>
        <v/>
      </c>
      <c r="J36" s="61"/>
      <c r="K36" s="61"/>
      <c r="L36" s="56" t="str">
        <f aca="false">IF(OR(I36="",K36=""),"",IF(I36&gt;=K36,NETWORKDAYS(K36,I36)-1,-(NETWORKDAYS(I36,K36)-1)))</f>
        <v/>
      </c>
      <c r="M36" s="62"/>
      <c r="N36" s="59"/>
      <c r="O36" s="58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5"/>
      <c r="BN36" s="45"/>
      <c r="BO36" s="45"/>
      <c r="BP36" s="45"/>
    </row>
    <row r="37" customFormat="false" ht="15" hidden="false" customHeight="false" outlineLevel="0" collapsed="false">
      <c r="A37" s="51"/>
      <c r="B37" s="52"/>
      <c r="C37" s="52"/>
      <c r="D37" s="52"/>
      <c r="E37" s="52"/>
      <c r="F37" s="52"/>
      <c r="G37" s="53"/>
      <c r="H37" s="54"/>
      <c r="I37" s="55" t="str">
        <f aca="false">IF(H37="","",IF(N(G37)=0,H37,WORKDAY(H37,G37-1)))</f>
        <v/>
      </c>
      <c r="J37" s="54"/>
      <c r="K37" s="54"/>
      <c r="L37" s="56" t="str">
        <f aca="false">IF(OR(I37="",K37=""),"",IF(I37&gt;=K37,NETWORKDAYS(K37,I37)-1,-(NETWORKDAYS(I37,K37)-1)))</f>
        <v/>
      </c>
      <c r="M37" s="57"/>
      <c r="N37" s="52"/>
      <c r="O37" s="51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45"/>
      <c r="BL37" s="45"/>
      <c r="BM37" s="45"/>
      <c r="BN37" s="45"/>
      <c r="BO37" s="45"/>
      <c r="BP37" s="45"/>
    </row>
    <row r="38" customFormat="false" ht="15" hidden="false" customHeight="false" outlineLevel="0" collapsed="false">
      <c r="A38" s="58"/>
      <c r="B38" s="59"/>
      <c r="C38" s="59"/>
      <c r="D38" s="59"/>
      <c r="E38" s="59"/>
      <c r="F38" s="59"/>
      <c r="G38" s="60"/>
      <c r="H38" s="61"/>
      <c r="I38" s="55" t="str">
        <f aca="false">IF(H38="","",IF(N(G38)=0,H38,WORKDAY(H38,G38-1)))</f>
        <v/>
      </c>
      <c r="J38" s="61"/>
      <c r="K38" s="61"/>
      <c r="L38" s="56" t="str">
        <f aca="false">IF(OR(I38="",K38=""),"",IF(I38&gt;=K38,NETWORKDAYS(K38,I38)-1,-(NETWORKDAYS(I38,K38)-1)))</f>
        <v/>
      </c>
      <c r="M38" s="62"/>
      <c r="N38" s="59"/>
      <c r="O38" s="58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  <c r="BN38" s="45"/>
      <c r="BO38" s="45"/>
      <c r="BP38" s="45"/>
    </row>
    <row r="39" customFormat="false" ht="15" hidden="false" customHeight="false" outlineLevel="0" collapsed="false">
      <c r="A39" s="51"/>
      <c r="B39" s="52"/>
      <c r="C39" s="52"/>
      <c r="D39" s="52"/>
      <c r="E39" s="52"/>
      <c r="F39" s="52"/>
      <c r="G39" s="53"/>
      <c r="H39" s="54"/>
      <c r="I39" s="55" t="str">
        <f aca="false">IF(H39="","",IF(N(G39)=0,H39,WORKDAY(H39,G39-1)))</f>
        <v/>
      </c>
      <c r="J39" s="54"/>
      <c r="K39" s="54"/>
      <c r="L39" s="56" t="str">
        <f aca="false">IF(OR(I39="",K39=""),"",IF(I39&gt;=K39,NETWORKDAYS(K39,I39)-1,-(NETWORKDAYS(I39,K39)-1)))</f>
        <v/>
      </c>
      <c r="M39" s="57"/>
      <c r="N39" s="52"/>
      <c r="O39" s="51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  <c r="BP39" s="45"/>
    </row>
    <row r="40" customFormat="false" ht="15" hidden="false" customHeight="false" outlineLevel="0" collapsed="false">
      <c r="A40" s="58"/>
      <c r="B40" s="59"/>
      <c r="C40" s="59"/>
      <c r="D40" s="59"/>
      <c r="E40" s="59"/>
      <c r="F40" s="59"/>
      <c r="G40" s="60"/>
      <c r="H40" s="61"/>
      <c r="I40" s="55" t="str">
        <f aca="false">IF(H40="","",IF(N(G40)=0,H40,WORKDAY(H40,G40-1)))</f>
        <v/>
      </c>
      <c r="J40" s="61"/>
      <c r="K40" s="61"/>
      <c r="L40" s="56" t="str">
        <f aca="false">IF(OR(I40="",K40=""),"",IF(I40&gt;=K40,NETWORKDAYS(K40,I40)-1,-(NETWORKDAYS(I40,K40)-1)))</f>
        <v/>
      </c>
      <c r="M40" s="62"/>
      <c r="N40" s="59"/>
      <c r="O40" s="58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</row>
    <row r="41" customFormat="false" ht="15" hidden="false" customHeight="false" outlineLevel="0" collapsed="false">
      <c r="A41" s="51"/>
      <c r="B41" s="52"/>
      <c r="C41" s="52"/>
      <c r="D41" s="52"/>
      <c r="E41" s="52"/>
      <c r="F41" s="52"/>
      <c r="G41" s="53"/>
      <c r="H41" s="54"/>
      <c r="I41" s="55" t="str">
        <f aca="false">IF(H41="","",IF(N(G41)=0,H41,WORKDAY(H41,G41-1)))</f>
        <v/>
      </c>
      <c r="J41" s="54"/>
      <c r="K41" s="54"/>
      <c r="L41" s="56" t="str">
        <f aca="false">IF(OR(I41="",K41=""),"",IF(I41&gt;=K41,NETWORKDAYS(K41,I41)-1,-(NETWORKDAYS(I41,K41)-1)))</f>
        <v/>
      </c>
      <c r="M41" s="57"/>
      <c r="N41" s="52"/>
      <c r="O41" s="51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</row>
    <row r="42" customFormat="false" ht="15" hidden="false" customHeight="false" outlineLevel="0" collapsed="false">
      <c r="A42" s="58"/>
      <c r="B42" s="59"/>
      <c r="C42" s="59"/>
      <c r="D42" s="59"/>
      <c r="E42" s="59"/>
      <c r="F42" s="59"/>
      <c r="G42" s="60"/>
      <c r="H42" s="61"/>
      <c r="I42" s="55" t="str">
        <f aca="false">IF(H42="","",IF(N(G42)=0,H42,WORKDAY(H42,G42-1)))</f>
        <v/>
      </c>
      <c r="J42" s="61"/>
      <c r="K42" s="61"/>
      <c r="L42" s="56" t="str">
        <f aca="false">IF(OR(I42="",K42=""),"",IF(I42&gt;=K42,NETWORKDAYS(K42,I42)-1,-(NETWORKDAYS(I42,K42)-1)))</f>
        <v/>
      </c>
      <c r="M42" s="62"/>
      <c r="N42" s="59"/>
      <c r="O42" s="58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</row>
    <row r="43" customFormat="false" ht="15" hidden="false" customHeight="false" outlineLevel="0" collapsed="false">
      <c r="A43" s="51"/>
      <c r="B43" s="52"/>
      <c r="C43" s="52"/>
      <c r="D43" s="52"/>
      <c r="E43" s="52"/>
      <c r="F43" s="52"/>
      <c r="G43" s="53"/>
      <c r="H43" s="54"/>
      <c r="I43" s="55" t="str">
        <f aca="false">IF(H43="","",IF(N(G43)=0,H43,WORKDAY(H43,G43-1)))</f>
        <v/>
      </c>
      <c r="J43" s="54"/>
      <c r="K43" s="54"/>
      <c r="L43" s="56" t="str">
        <f aca="false">IF(OR(I43="",K43=""),"",IF(I43&gt;=K43,NETWORKDAYS(K43,I43)-1,-(NETWORKDAYS(I43,K43)-1)))</f>
        <v/>
      </c>
      <c r="M43" s="57"/>
      <c r="N43" s="52"/>
      <c r="O43" s="51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</row>
    <row r="44" customFormat="false" ht="15" hidden="false" customHeight="false" outlineLevel="0" collapsed="false">
      <c r="A44" s="58"/>
      <c r="B44" s="59"/>
      <c r="C44" s="59"/>
      <c r="D44" s="59"/>
      <c r="E44" s="59"/>
      <c r="F44" s="59"/>
      <c r="G44" s="60"/>
      <c r="H44" s="61"/>
      <c r="I44" s="55" t="str">
        <f aca="false">IF(H44="","",IF(N(G44)=0,H44,WORKDAY(H44,G44-1)))</f>
        <v/>
      </c>
      <c r="J44" s="61"/>
      <c r="K44" s="61"/>
      <c r="L44" s="56" t="str">
        <f aca="false">IF(OR(I44="",K44=""),"",IF(I44&gt;=K44,NETWORKDAYS(K44,I44)-1,-(NETWORKDAYS(I44,K44)-1)))</f>
        <v/>
      </c>
      <c r="M44" s="62"/>
      <c r="N44" s="59"/>
      <c r="O44" s="58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</row>
    <row r="45" customFormat="false" ht="15" hidden="false" customHeight="false" outlineLevel="0" collapsed="false">
      <c r="A45" s="51"/>
      <c r="B45" s="52"/>
      <c r="C45" s="52"/>
      <c r="D45" s="52"/>
      <c r="E45" s="52"/>
      <c r="F45" s="52"/>
      <c r="G45" s="53"/>
      <c r="H45" s="54"/>
      <c r="I45" s="55" t="str">
        <f aca="false">IF(H45="","",IF(N(G45)=0,H45,WORKDAY(H45,G45-1)))</f>
        <v/>
      </c>
      <c r="J45" s="54"/>
      <c r="K45" s="54"/>
      <c r="L45" s="56" t="str">
        <f aca="false">IF(OR(I45="",K45=""),"",IF(I45&gt;=K45,NETWORKDAYS(K45,I45)-1,-(NETWORKDAYS(I45,K45)-1)))</f>
        <v/>
      </c>
      <c r="M45" s="57"/>
      <c r="N45" s="52"/>
      <c r="O45" s="51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  <c r="BM45" s="45"/>
      <c r="BN45" s="45"/>
      <c r="BO45" s="45"/>
      <c r="BP45" s="45"/>
    </row>
    <row r="46" customFormat="false" ht="15" hidden="false" customHeight="false" outlineLevel="0" collapsed="false">
      <c r="A46" s="58"/>
      <c r="B46" s="59"/>
      <c r="C46" s="59"/>
      <c r="D46" s="59"/>
      <c r="E46" s="59"/>
      <c r="F46" s="59"/>
      <c r="G46" s="60"/>
      <c r="H46" s="61"/>
      <c r="I46" s="55" t="str">
        <f aca="false">IF(H46="","",IF(N(G46)=0,H46,WORKDAY(H46,G46-1)))</f>
        <v/>
      </c>
      <c r="J46" s="61"/>
      <c r="K46" s="61"/>
      <c r="L46" s="56" t="str">
        <f aca="false">IF(OR(I46="",K46=""),"",IF(I46&gt;=K46,NETWORKDAYS(K46,I46)-1,-(NETWORKDAYS(I46,K46)-1)))</f>
        <v/>
      </c>
      <c r="M46" s="62"/>
      <c r="N46" s="59"/>
      <c r="O46" s="58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45"/>
      <c r="BJ46" s="45"/>
      <c r="BK46" s="45"/>
      <c r="BL46" s="45"/>
      <c r="BM46" s="45"/>
      <c r="BN46" s="45"/>
      <c r="BO46" s="45"/>
      <c r="BP46" s="45"/>
    </row>
    <row r="47" customFormat="false" ht="15" hidden="false" customHeight="false" outlineLevel="0" collapsed="false">
      <c r="A47" s="51"/>
      <c r="B47" s="52"/>
      <c r="C47" s="52"/>
      <c r="D47" s="52"/>
      <c r="E47" s="52"/>
      <c r="F47" s="52"/>
      <c r="G47" s="53"/>
      <c r="H47" s="54"/>
      <c r="I47" s="55" t="str">
        <f aca="false">IF(H47="","",IF(N(G47)=0,H47,WORKDAY(H47,G47-1)))</f>
        <v/>
      </c>
      <c r="J47" s="54"/>
      <c r="K47" s="54"/>
      <c r="L47" s="56" t="str">
        <f aca="false">IF(OR(I47="",K47=""),"",IF(I47&gt;=K47,NETWORKDAYS(K47,I47)-1,-(NETWORKDAYS(I47,K47)-1)))</f>
        <v/>
      </c>
      <c r="M47" s="57"/>
      <c r="N47" s="52"/>
      <c r="O47" s="51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H47" s="45"/>
      <c r="BI47" s="45"/>
      <c r="BJ47" s="45"/>
      <c r="BK47" s="45"/>
      <c r="BL47" s="45"/>
      <c r="BM47" s="45"/>
      <c r="BN47" s="45"/>
      <c r="BO47" s="45"/>
      <c r="BP47" s="45"/>
    </row>
    <row r="48" customFormat="false" ht="15" hidden="false" customHeight="false" outlineLevel="0" collapsed="false">
      <c r="A48" s="58"/>
      <c r="B48" s="59"/>
      <c r="C48" s="59"/>
      <c r="D48" s="59"/>
      <c r="E48" s="59"/>
      <c r="F48" s="59"/>
      <c r="G48" s="60"/>
      <c r="H48" s="61"/>
      <c r="I48" s="55" t="str">
        <f aca="false">IF(H48="","",IF(N(G48)=0,H48,WORKDAY(H48,G48-1)))</f>
        <v/>
      </c>
      <c r="J48" s="61"/>
      <c r="K48" s="61"/>
      <c r="L48" s="56" t="str">
        <f aca="false">IF(OR(I48="",K48=""),"",IF(I48&gt;=K48,NETWORKDAYS(K48,I48)-1,-(NETWORKDAYS(I48,K48)-1)))</f>
        <v/>
      </c>
      <c r="M48" s="62"/>
      <c r="N48" s="59"/>
      <c r="O48" s="58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  <c r="BC48" s="45"/>
      <c r="BD48" s="45"/>
      <c r="BE48" s="45"/>
      <c r="BF48" s="45"/>
      <c r="BG48" s="45"/>
      <c r="BH48" s="45"/>
      <c r="BI48" s="45"/>
      <c r="BJ48" s="45"/>
      <c r="BK48" s="45"/>
      <c r="BL48" s="45"/>
      <c r="BM48" s="45"/>
      <c r="BN48" s="45"/>
      <c r="BO48" s="45"/>
      <c r="BP48" s="45"/>
    </row>
    <row r="49" customFormat="false" ht="15" hidden="false" customHeight="false" outlineLevel="0" collapsed="false">
      <c r="A49" s="51"/>
      <c r="B49" s="52"/>
      <c r="C49" s="52"/>
      <c r="D49" s="52"/>
      <c r="E49" s="52"/>
      <c r="F49" s="52"/>
      <c r="G49" s="53"/>
      <c r="H49" s="54"/>
      <c r="I49" s="55" t="str">
        <f aca="false">IF(H49="","",IF(N(G49)=0,H49,WORKDAY(H49,G49-1)))</f>
        <v/>
      </c>
      <c r="J49" s="54"/>
      <c r="K49" s="54"/>
      <c r="L49" s="56" t="str">
        <f aca="false">IF(OR(I49="",K49=""),"",IF(I49&gt;=K49,NETWORKDAYS(K49,I49)-1,-(NETWORKDAYS(I49,K49)-1)))</f>
        <v/>
      </c>
      <c r="M49" s="57"/>
      <c r="N49" s="52"/>
      <c r="O49" s="51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  <c r="AX49" s="45"/>
      <c r="AY49" s="45"/>
      <c r="AZ49" s="45"/>
      <c r="BA49" s="45"/>
      <c r="BB49" s="45"/>
      <c r="BC49" s="45"/>
      <c r="BD49" s="45"/>
      <c r="BE49" s="45"/>
      <c r="BF49" s="45"/>
      <c r="BG49" s="45"/>
      <c r="BH49" s="45"/>
      <c r="BI49" s="45"/>
      <c r="BJ49" s="45"/>
      <c r="BK49" s="45"/>
      <c r="BL49" s="45"/>
      <c r="BM49" s="45"/>
      <c r="BN49" s="45"/>
      <c r="BO49" s="45"/>
      <c r="BP49" s="45"/>
    </row>
    <row r="50" customFormat="false" ht="15" hidden="false" customHeight="false" outlineLevel="0" collapsed="false">
      <c r="A50" s="58"/>
      <c r="B50" s="59"/>
      <c r="C50" s="59"/>
      <c r="D50" s="59"/>
      <c r="E50" s="59"/>
      <c r="F50" s="59"/>
      <c r="G50" s="60"/>
      <c r="H50" s="61"/>
      <c r="I50" s="55" t="str">
        <f aca="false">IF(H50="","",IF(N(G50)=0,H50,WORKDAY(H50,G50-1)))</f>
        <v/>
      </c>
      <c r="J50" s="61"/>
      <c r="K50" s="61"/>
      <c r="L50" s="56" t="str">
        <f aca="false">IF(OR(I50="",K50=""),"",IF(I50&gt;=K50,NETWORKDAYS(K50,I50)-1,-(NETWORKDAYS(I50,K50)-1)))</f>
        <v/>
      </c>
      <c r="M50" s="62"/>
      <c r="N50" s="59"/>
      <c r="O50" s="58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45"/>
      <c r="BD50" s="45"/>
      <c r="BE50" s="45"/>
      <c r="BF50" s="45"/>
      <c r="BG50" s="45"/>
      <c r="BH50" s="45"/>
      <c r="BI50" s="45"/>
      <c r="BJ50" s="45"/>
      <c r="BK50" s="45"/>
      <c r="BL50" s="45"/>
      <c r="BM50" s="45"/>
      <c r="BN50" s="45"/>
      <c r="BO50" s="45"/>
      <c r="BP50" s="45"/>
    </row>
    <row r="51" customFormat="false" ht="15" hidden="false" customHeight="false" outlineLevel="0" collapsed="false">
      <c r="A51" s="51"/>
      <c r="B51" s="52"/>
      <c r="C51" s="52"/>
      <c r="D51" s="52"/>
      <c r="E51" s="52"/>
      <c r="F51" s="52"/>
      <c r="G51" s="53"/>
      <c r="H51" s="54"/>
      <c r="I51" s="55" t="str">
        <f aca="false">IF(H51="","",IF(N(G51)=0,H51,WORKDAY(H51,G51-1)))</f>
        <v/>
      </c>
      <c r="J51" s="54"/>
      <c r="K51" s="54"/>
      <c r="L51" s="56" t="str">
        <f aca="false">IF(OR(I51="",K51=""),"",IF(I51&gt;=K51,NETWORKDAYS(K51,I51)-1,-(NETWORKDAYS(I51,K51)-1)))</f>
        <v/>
      </c>
      <c r="M51" s="57"/>
      <c r="N51" s="52"/>
      <c r="O51" s="51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45"/>
      <c r="BE51" s="45"/>
      <c r="BF51" s="45"/>
      <c r="BG51" s="45"/>
      <c r="BH51" s="45"/>
      <c r="BI51" s="45"/>
      <c r="BJ51" s="45"/>
      <c r="BK51" s="45"/>
      <c r="BL51" s="45"/>
      <c r="BM51" s="45"/>
      <c r="BN51" s="45"/>
      <c r="BO51" s="45"/>
      <c r="BP51" s="45"/>
    </row>
    <row r="52" customFormat="false" ht="15" hidden="false" customHeight="false" outlineLevel="0" collapsed="false">
      <c r="A52" s="58"/>
      <c r="B52" s="59"/>
      <c r="C52" s="59"/>
      <c r="D52" s="59"/>
      <c r="E52" s="59"/>
      <c r="F52" s="59"/>
      <c r="G52" s="60"/>
      <c r="H52" s="61"/>
      <c r="I52" s="55" t="str">
        <f aca="false">IF(H52="","",IF(N(G52)=0,H52,WORKDAY(H52,G52-1)))</f>
        <v/>
      </c>
      <c r="J52" s="61"/>
      <c r="K52" s="61"/>
      <c r="L52" s="56" t="str">
        <f aca="false">IF(OR(I52="",K52=""),"",IF(I52&gt;=K52,NETWORKDAYS(K52,I52)-1,-(NETWORKDAYS(I52,K52)-1)))</f>
        <v/>
      </c>
      <c r="M52" s="62"/>
      <c r="N52" s="59"/>
      <c r="O52" s="58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45"/>
      <c r="BE52" s="45"/>
      <c r="BF52" s="45"/>
      <c r="BG52" s="45"/>
      <c r="BH52" s="45"/>
      <c r="BI52" s="45"/>
      <c r="BJ52" s="45"/>
      <c r="BK52" s="45"/>
      <c r="BL52" s="45"/>
      <c r="BM52" s="45"/>
      <c r="BN52" s="45"/>
      <c r="BO52" s="45"/>
      <c r="BP52" s="45"/>
    </row>
    <row r="53" customFormat="false" ht="15" hidden="false" customHeight="false" outlineLevel="0" collapsed="false">
      <c r="A53" s="51"/>
      <c r="B53" s="52"/>
      <c r="C53" s="52"/>
      <c r="D53" s="52"/>
      <c r="E53" s="52"/>
      <c r="F53" s="52"/>
      <c r="G53" s="53"/>
      <c r="H53" s="54"/>
      <c r="I53" s="55" t="str">
        <f aca="false">IF(H53="","",IF(N(G53)=0,H53,WORKDAY(H53,G53-1)))</f>
        <v/>
      </c>
      <c r="J53" s="54"/>
      <c r="K53" s="54"/>
      <c r="L53" s="56" t="str">
        <f aca="false">IF(OR(I53="",K53=""),"",IF(I53&gt;=K53,NETWORKDAYS(K53,I53)-1,-(NETWORKDAYS(I53,K53)-1)))</f>
        <v/>
      </c>
      <c r="M53" s="57"/>
      <c r="N53" s="52"/>
      <c r="O53" s="51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45"/>
      <c r="BD53" s="45"/>
      <c r="BE53" s="45"/>
      <c r="BF53" s="45"/>
      <c r="BG53" s="45"/>
      <c r="BH53" s="45"/>
      <c r="BI53" s="45"/>
      <c r="BJ53" s="45"/>
      <c r="BK53" s="45"/>
      <c r="BL53" s="45"/>
      <c r="BM53" s="45"/>
      <c r="BN53" s="45"/>
      <c r="BO53" s="45"/>
      <c r="BP53" s="45"/>
    </row>
    <row r="54" customFormat="false" ht="15" hidden="false" customHeight="false" outlineLevel="0" collapsed="false">
      <c r="A54" s="58"/>
      <c r="B54" s="59"/>
      <c r="C54" s="59"/>
      <c r="D54" s="59"/>
      <c r="E54" s="59"/>
      <c r="F54" s="59"/>
      <c r="G54" s="60"/>
      <c r="H54" s="61"/>
      <c r="I54" s="55" t="str">
        <f aca="false">IF(H54="","",IF(N(G54)=0,H54,WORKDAY(H54,G54-1)))</f>
        <v/>
      </c>
      <c r="J54" s="61"/>
      <c r="K54" s="61"/>
      <c r="L54" s="56" t="str">
        <f aca="false">IF(OR(I54="",K54=""),"",IF(I54&gt;=K54,NETWORKDAYS(K54,I54)-1,-(NETWORKDAYS(I54,K54)-1)))</f>
        <v/>
      </c>
      <c r="M54" s="62"/>
      <c r="N54" s="59"/>
      <c r="O54" s="58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45"/>
      <c r="BD54" s="45"/>
      <c r="BE54" s="45"/>
      <c r="BF54" s="45"/>
      <c r="BG54" s="45"/>
      <c r="BH54" s="45"/>
      <c r="BI54" s="45"/>
      <c r="BJ54" s="45"/>
      <c r="BK54" s="45"/>
      <c r="BL54" s="45"/>
      <c r="BM54" s="45"/>
      <c r="BN54" s="45"/>
      <c r="BO54" s="45"/>
      <c r="BP54" s="45"/>
    </row>
    <row r="55" customFormat="false" ht="15" hidden="false" customHeight="false" outlineLevel="0" collapsed="false">
      <c r="A55" s="51"/>
      <c r="B55" s="52"/>
      <c r="C55" s="52"/>
      <c r="D55" s="52"/>
      <c r="E55" s="52"/>
      <c r="F55" s="52"/>
      <c r="G55" s="53"/>
      <c r="H55" s="54"/>
      <c r="I55" s="55" t="str">
        <f aca="false">IF(H55="","",IF(N(G55)=0,H55,WORKDAY(H55,G55-1)))</f>
        <v/>
      </c>
      <c r="J55" s="54"/>
      <c r="K55" s="54"/>
      <c r="L55" s="56" t="str">
        <f aca="false">IF(OR(I55="",K55=""),"",IF(I55&gt;=K55,NETWORKDAYS(K55,I55)-1,-(NETWORKDAYS(I55,K55)-1)))</f>
        <v/>
      </c>
      <c r="M55" s="57"/>
      <c r="N55" s="52"/>
      <c r="O55" s="51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H55" s="45"/>
      <c r="BI55" s="45"/>
      <c r="BJ55" s="45"/>
      <c r="BK55" s="45"/>
      <c r="BL55" s="45"/>
      <c r="BM55" s="45"/>
      <c r="BN55" s="45"/>
      <c r="BO55" s="45"/>
      <c r="BP55" s="45"/>
    </row>
    <row r="56" customFormat="false" ht="15" hidden="false" customHeight="false" outlineLevel="0" collapsed="false">
      <c r="A56" s="58"/>
      <c r="B56" s="59"/>
      <c r="C56" s="59"/>
      <c r="D56" s="59"/>
      <c r="E56" s="59"/>
      <c r="F56" s="59"/>
      <c r="G56" s="60"/>
      <c r="H56" s="61"/>
      <c r="I56" s="55" t="str">
        <f aca="false">IF(H56="","",IF(N(G56)=0,H56,WORKDAY(H56,G56-1)))</f>
        <v/>
      </c>
      <c r="J56" s="61"/>
      <c r="K56" s="61"/>
      <c r="L56" s="56" t="str">
        <f aca="false">IF(OR(I56="",K56=""),"",IF(I56&gt;=K56,NETWORKDAYS(K56,I56)-1,-(NETWORKDAYS(I56,K56)-1)))</f>
        <v/>
      </c>
      <c r="M56" s="62"/>
      <c r="N56" s="59"/>
      <c r="O56" s="58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5"/>
      <c r="BF56" s="45"/>
      <c r="BG56" s="45"/>
      <c r="BH56" s="45"/>
      <c r="BI56" s="45"/>
      <c r="BJ56" s="45"/>
      <c r="BK56" s="45"/>
      <c r="BL56" s="45"/>
      <c r="BM56" s="45"/>
      <c r="BN56" s="45"/>
      <c r="BO56" s="45"/>
      <c r="BP56" s="45"/>
    </row>
    <row r="57" customFormat="false" ht="15" hidden="false" customHeight="false" outlineLevel="0" collapsed="false">
      <c r="A57" s="51"/>
      <c r="B57" s="52"/>
      <c r="C57" s="52"/>
      <c r="D57" s="52"/>
      <c r="E57" s="52"/>
      <c r="F57" s="52"/>
      <c r="G57" s="53"/>
      <c r="H57" s="54"/>
      <c r="I57" s="55" t="str">
        <f aca="false">IF(H57="","",IF(N(G57)=0,H57,WORKDAY(H57,G57-1)))</f>
        <v/>
      </c>
      <c r="J57" s="54"/>
      <c r="K57" s="54"/>
      <c r="L57" s="56" t="str">
        <f aca="false">IF(OR(I57="",K57=""),"",IF(I57&gt;=K57,NETWORKDAYS(K57,I57)-1,-(NETWORKDAYS(I57,K57)-1)))</f>
        <v/>
      </c>
      <c r="M57" s="57"/>
      <c r="N57" s="52"/>
      <c r="O57" s="51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5"/>
      <c r="BF57" s="45"/>
      <c r="BG57" s="45"/>
      <c r="BH57" s="45"/>
      <c r="BI57" s="45"/>
      <c r="BJ57" s="45"/>
      <c r="BK57" s="45"/>
      <c r="BL57" s="45"/>
      <c r="BM57" s="45"/>
      <c r="BN57" s="45"/>
      <c r="BO57" s="45"/>
      <c r="BP57" s="45"/>
    </row>
    <row r="58" customFormat="false" ht="15" hidden="false" customHeight="false" outlineLevel="0" collapsed="false">
      <c r="A58" s="58"/>
      <c r="B58" s="59"/>
      <c r="C58" s="59"/>
      <c r="D58" s="59"/>
      <c r="E58" s="59"/>
      <c r="F58" s="59"/>
      <c r="G58" s="60"/>
      <c r="H58" s="61"/>
      <c r="I58" s="55" t="str">
        <f aca="false">IF(H58="","",IF(N(G58)=0,H58,WORKDAY(H58,G58-1)))</f>
        <v/>
      </c>
      <c r="J58" s="61"/>
      <c r="K58" s="61"/>
      <c r="L58" s="56" t="str">
        <f aca="false">IF(OR(I58="",K58=""),"",IF(I58&gt;=K58,NETWORKDAYS(K58,I58)-1,-(NETWORKDAYS(I58,K58)-1)))</f>
        <v/>
      </c>
      <c r="M58" s="62"/>
      <c r="N58" s="59"/>
      <c r="O58" s="58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5"/>
      <c r="BF58" s="45"/>
      <c r="BG58" s="45"/>
      <c r="BH58" s="45"/>
      <c r="BI58" s="45"/>
      <c r="BJ58" s="45"/>
      <c r="BK58" s="45"/>
      <c r="BL58" s="45"/>
      <c r="BM58" s="45"/>
      <c r="BN58" s="45"/>
      <c r="BO58" s="45"/>
      <c r="BP58" s="45"/>
    </row>
    <row r="59" customFormat="false" ht="15" hidden="false" customHeight="false" outlineLevel="0" collapsed="false">
      <c r="A59" s="51"/>
      <c r="B59" s="52"/>
      <c r="C59" s="52"/>
      <c r="D59" s="52"/>
      <c r="E59" s="52"/>
      <c r="F59" s="52"/>
      <c r="G59" s="53"/>
      <c r="H59" s="54"/>
      <c r="I59" s="55" t="str">
        <f aca="false">IF(H59="","",IF(N(G59)=0,H59,WORKDAY(H59,G59-1)))</f>
        <v/>
      </c>
      <c r="J59" s="54"/>
      <c r="K59" s="54"/>
      <c r="L59" s="56" t="str">
        <f aca="false">IF(OR(I59="",K59=""),"",IF(I59&gt;=K59,NETWORKDAYS(K59,I59)-1,-(NETWORKDAYS(I59,K59)-1)))</f>
        <v/>
      </c>
      <c r="M59" s="57"/>
      <c r="N59" s="52"/>
      <c r="O59" s="51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45"/>
      <c r="BE59" s="45"/>
      <c r="BF59" s="45"/>
      <c r="BG59" s="45"/>
      <c r="BH59" s="45"/>
      <c r="BI59" s="45"/>
      <c r="BJ59" s="45"/>
      <c r="BK59" s="45"/>
      <c r="BL59" s="45"/>
      <c r="BM59" s="45"/>
      <c r="BN59" s="45"/>
      <c r="BO59" s="45"/>
      <c r="BP59" s="45"/>
    </row>
    <row r="60" customFormat="false" ht="15" hidden="false" customHeight="false" outlineLevel="0" collapsed="false">
      <c r="A60" s="58"/>
      <c r="B60" s="59"/>
      <c r="C60" s="59"/>
      <c r="D60" s="59"/>
      <c r="E60" s="59"/>
      <c r="F60" s="59"/>
      <c r="G60" s="60"/>
      <c r="H60" s="61"/>
      <c r="I60" s="55" t="str">
        <f aca="false">IF(H60="","",IF(N(G60)=0,H60,WORKDAY(H60,G60-1)))</f>
        <v/>
      </c>
      <c r="J60" s="61"/>
      <c r="K60" s="61"/>
      <c r="L60" s="56" t="str">
        <f aca="false">IF(OR(I60="",K60=""),"",IF(I60&gt;=K60,NETWORKDAYS(K60,I60)-1,-(NETWORKDAYS(I60,K60)-1)))</f>
        <v/>
      </c>
      <c r="M60" s="62"/>
      <c r="N60" s="59"/>
      <c r="O60" s="58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</row>
    <row r="61" customFormat="false" ht="15" hidden="false" customHeight="false" outlineLevel="0" collapsed="false">
      <c r="A61" s="51"/>
      <c r="B61" s="52"/>
      <c r="C61" s="52"/>
      <c r="D61" s="52"/>
      <c r="E61" s="52"/>
      <c r="F61" s="52"/>
      <c r="G61" s="53"/>
      <c r="H61" s="54"/>
      <c r="I61" s="55" t="str">
        <f aca="false">IF(H61="","",IF(N(G61)=0,H61,WORKDAY(H61,G61-1)))</f>
        <v/>
      </c>
      <c r="J61" s="54"/>
      <c r="K61" s="54"/>
      <c r="L61" s="56" t="str">
        <f aca="false">IF(OR(I61="",K61=""),"",IF(I61&gt;=K61,NETWORKDAYS(K61,I61)-1,-(NETWORKDAYS(I61,K61)-1)))</f>
        <v/>
      </c>
      <c r="M61" s="57"/>
      <c r="N61" s="52"/>
      <c r="O61" s="51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45"/>
      <c r="BD61" s="45"/>
      <c r="BE61" s="45"/>
      <c r="BF61" s="45"/>
      <c r="BG61" s="45"/>
      <c r="BH61" s="45"/>
      <c r="BI61" s="45"/>
      <c r="BJ61" s="45"/>
      <c r="BK61" s="45"/>
      <c r="BL61" s="45"/>
      <c r="BM61" s="45"/>
      <c r="BN61" s="45"/>
      <c r="BO61" s="45"/>
      <c r="BP61" s="45"/>
    </row>
    <row r="62" customFormat="false" ht="15" hidden="false" customHeight="false" outlineLevel="0" collapsed="false">
      <c r="A62" s="58"/>
      <c r="B62" s="59"/>
      <c r="C62" s="59"/>
      <c r="D62" s="59"/>
      <c r="E62" s="59"/>
      <c r="F62" s="59"/>
      <c r="G62" s="60"/>
      <c r="H62" s="61"/>
      <c r="I62" s="55" t="str">
        <f aca="false">IF(H62="","",IF(N(G62)=0,H62,WORKDAY(H62,G62-1)))</f>
        <v/>
      </c>
      <c r="J62" s="61"/>
      <c r="K62" s="61"/>
      <c r="L62" s="56" t="str">
        <f aca="false">IF(OR(I62="",K62=""),"",IF(I62&gt;=K62,NETWORKDAYS(K62,I62)-1,-(NETWORKDAYS(I62,K62)-1)))</f>
        <v/>
      </c>
      <c r="M62" s="62"/>
      <c r="N62" s="59"/>
      <c r="O62" s="58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45"/>
      <c r="BE62" s="45"/>
      <c r="BF62" s="45"/>
      <c r="BG62" s="45"/>
      <c r="BH62" s="45"/>
      <c r="BI62" s="45"/>
      <c r="BJ62" s="45"/>
      <c r="BK62" s="45"/>
      <c r="BL62" s="45"/>
      <c r="BM62" s="45"/>
      <c r="BN62" s="45"/>
      <c r="BO62" s="45"/>
      <c r="BP62" s="45"/>
    </row>
    <row r="63" customFormat="false" ht="15" hidden="false" customHeight="false" outlineLevel="0" collapsed="false">
      <c r="A63" s="51"/>
      <c r="B63" s="52"/>
      <c r="C63" s="52"/>
      <c r="D63" s="52"/>
      <c r="E63" s="52"/>
      <c r="F63" s="52"/>
      <c r="G63" s="53"/>
      <c r="H63" s="54"/>
      <c r="I63" s="55" t="str">
        <f aca="false">IF(H63="","",IF(N(G63)=0,H63,WORKDAY(H63,G63-1)))</f>
        <v/>
      </c>
      <c r="J63" s="54"/>
      <c r="K63" s="54"/>
      <c r="L63" s="56" t="str">
        <f aca="false">IF(OR(I63="",K63=""),"",IF(I63&gt;=K63,NETWORKDAYS(K63,I63)-1,-(NETWORKDAYS(I63,K63)-1)))</f>
        <v/>
      </c>
      <c r="M63" s="57"/>
      <c r="N63" s="52"/>
      <c r="O63" s="51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45"/>
      <c r="BE63" s="45"/>
      <c r="BF63" s="45"/>
      <c r="BG63" s="45"/>
      <c r="BH63" s="45"/>
      <c r="BI63" s="45"/>
      <c r="BJ63" s="45"/>
      <c r="BK63" s="45"/>
      <c r="BL63" s="45"/>
      <c r="BM63" s="45"/>
      <c r="BN63" s="45"/>
      <c r="BO63" s="45"/>
      <c r="BP63" s="45"/>
    </row>
    <row r="64" customFormat="false" ht="15" hidden="false" customHeight="false" outlineLevel="0" collapsed="false">
      <c r="A64" s="58"/>
      <c r="B64" s="59"/>
      <c r="C64" s="59"/>
      <c r="D64" s="59"/>
      <c r="E64" s="59"/>
      <c r="F64" s="59"/>
      <c r="G64" s="60"/>
      <c r="H64" s="61"/>
      <c r="I64" s="55" t="str">
        <f aca="false">IF(H64="","",IF(N(G64)=0,H64,WORKDAY(H64,G64-1)))</f>
        <v/>
      </c>
      <c r="J64" s="61"/>
      <c r="K64" s="61"/>
      <c r="L64" s="56" t="str">
        <f aca="false">IF(OR(I64="",K64=""),"",IF(I64&gt;=K64,NETWORKDAYS(K64,I64)-1,-(NETWORKDAYS(I64,K64)-1)))</f>
        <v/>
      </c>
      <c r="M64" s="62"/>
      <c r="N64" s="59"/>
      <c r="O64" s="58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</row>
  </sheetData>
  <autoFilter ref="A4:O64"/>
  <mergeCells count="3">
    <mergeCell ref="A1:O1"/>
    <mergeCell ref="A2:O2"/>
    <mergeCell ref="A3:B3"/>
  </mergeCells>
  <conditionalFormatting sqref="Q5:BP64">
    <cfRule type="expression" priority="2" aboveAverage="0" equalAverage="0" bottom="0" percent="0" rank="0" text="" dxfId="7">
      <formula>AND($D5="Milestone",$H5&lt;&gt;"",Q$4&lt;=$H5,Q$4+6&gt;=$H5)</formula>
    </cfRule>
    <cfRule type="expression" priority="3" aboveAverage="0" equalAverage="0" bottom="0" percent="0" rank="0" text="" dxfId="8">
      <formula>AND($D5="Summary",$H5&lt;&gt;"",$I5&lt;&gt;"",Q$4&lt;=$I5,Q$4+6&gt;=$H5)</formula>
    </cfRule>
    <cfRule type="expression" priority="4" aboveAverage="0" equalAverage="0" bottom="0" percent="0" rank="0" text="" dxfId="9">
      <formula>AND($H5&lt;&gt;"",$I5&lt;&gt;"",$O5="Y",Q$4&lt;=$I5,Q$4+6&gt;=$H5)</formula>
    </cfRule>
    <cfRule type="expression" priority="5" aboveAverage="0" equalAverage="0" bottom="0" percent="0" rank="0" text="" dxfId="10">
      <formula>AND($H5&lt;&gt;"",$I5&lt;&gt;"",Q$4&lt;=$I5,Q$4+6&gt;=$H5)</formula>
    </cfRule>
    <cfRule type="expression" priority="6" aboveAverage="0" equalAverage="0" bottom="0" percent="0" rank="0" text="" dxfId="11">
      <formula>AND(Q$4&lt;=$E$3,Q$4+6&gt;=$E$3)</formula>
    </cfRule>
  </conditionalFormatting>
  <conditionalFormatting sqref="N5:N64">
    <cfRule type="cellIs" priority="7" operator="equal" aboveAverage="0" equalAverage="0" bottom="0" percent="0" rank="0" text="" dxfId="12">
      <formula>"Complete"</formula>
    </cfRule>
    <cfRule type="cellIs" priority="8" operator="equal" aboveAverage="0" equalAverage="0" bottom="0" percent="0" rank="0" text="" dxfId="13">
      <formula>"At risk"</formula>
    </cfRule>
    <cfRule type="cellIs" priority="9" operator="equal" aboveAverage="0" equalAverage="0" bottom="0" percent="0" rank="0" text="" dxfId="14">
      <formula>"In progress"</formula>
    </cfRule>
  </conditionalFormatting>
  <conditionalFormatting sqref="L5:L64">
    <cfRule type="expression" priority="10" aboveAverage="0" equalAverage="0" bottom="0" percent="0" rank="0" text="" dxfId="13">
      <formula>AND(ISNUMBER(L5),L5&gt;10)</formula>
    </cfRule>
    <cfRule type="expression" priority="11" aboveAverage="0" equalAverage="0" bottom="0" percent="0" rank="0" text="" dxfId="15">
      <formula>AND(ISNUMBER(L5),L5&gt;0)</formula>
    </cfRule>
  </conditionalFormatting>
  <dataValidations count="4">
    <dataValidation allowBlank="true" error="Please select a value from the list (toolkit controlled vocabulary)." errorStyle="stop" errorTitle="Invalid entry" operator="between" showDropDown="false" showErrorMessage="true" showInputMessage="false" sqref="D5:D64" type="list">
      <formula1>Lists!$A$2:$A$4</formula1>
      <formula2>0</formula2>
    </dataValidation>
    <dataValidation allowBlank="true" error="Enter a value between 0 and 1." errorStyle="stop" operator="between" showDropDown="false" showErrorMessage="true" showInputMessage="false" sqref="M5:M64" type="decimal">
      <formula1>0</formula1>
      <formula2>1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N5:N64" type="list">
      <formula1>Lists!$B$2:$B$6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O5:O64" type="list">
      <formula1>Lists!$C$2:$C$3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63" t="s">
        <v>148</v>
      </c>
      <c r="B1" s="63" t="s">
        <v>149</v>
      </c>
      <c r="C1" s="63" t="s">
        <v>150</v>
      </c>
    </row>
    <row r="2" customFormat="false" ht="15" hidden="false" customHeight="false" outlineLevel="0" collapsed="false">
      <c r="A2" s="0" t="s">
        <v>83</v>
      </c>
      <c r="B2" s="0" t="s">
        <v>100</v>
      </c>
      <c r="C2" s="0" t="s">
        <v>151</v>
      </c>
    </row>
    <row r="3" customFormat="false" ht="15" hidden="false" customHeight="false" outlineLevel="0" collapsed="false">
      <c r="A3" s="0" t="s">
        <v>81</v>
      </c>
      <c r="B3" s="0" t="s">
        <v>152</v>
      </c>
      <c r="C3" s="0" t="s">
        <v>101</v>
      </c>
    </row>
    <row r="4" customFormat="false" ht="15" hidden="false" customHeight="false" outlineLevel="0" collapsed="false">
      <c r="A4" s="0" t="s">
        <v>66</v>
      </c>
      <c r="B4" s="0" t="s">
        <v>153</v>
      </c>
    </row>
    <row r="5" customFormat="false" ht="15" hidden="false" customHeight="false" outlineLevel="0" collapsed="false">
      <c r="B5" s="0" t="s">
        <v>154</v>
      </c>
    </row>
    <row r="6" customFormat="false" ht="15" hidden="false" customHeight="false" outlineLevel="0" collapsed="false">
      <c r="B6" s="0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PMI Predictive Project Management Toolkit</cp:category>
  <dcterms:created xsi:type="dcterms:W3CDTF">2026-10-28T04:09:00Z</dcterms:created>
  <dc:creator>[Project Manager]</dc:creator>
  <dc:description/>
  <cp:keywords>PRJ-2026-001-MSC PMBOK 8</cp:keywords>
  <dc:language>en-US</dc:language>
  <cp:lastModifiedBy/>
  <dcterms:modified xsi:type="dcterms:W3CDTF">2026-10-28T04:09:00Z</dcterms:modified>
  <cp:revision>0</cp:revision>
  <dc:subject>[Project Name]</dc:subject>
  <dc:title>07 - Master Schedule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