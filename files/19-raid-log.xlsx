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Risks" sheetId="3" state="visible" r:id="rId5"/>
    <sheet name="Assumptions" sheetId="4" state="visible" r:id="rId6"/>
    <sheet name="Issues" sheetId="5" state="visible" r:id="rId7"/>
    <sheet name="Dependencies" sheetId="6" state="visible" r:id="rId8"/>
    <sheet name="Lists" sheetId="7" state="hidden" r:id="rId9"/>
  </sheets>
  <definedNames>
    <definedName function="false" hidden="false" localSheetId="3" name="_xlnm.Print_Titles" vbProcedure="false">Assumptions!$4:$4</definedName>
    <definedName function="false" hidden="true" localSheetId="3" name="_xlnm._FilterDatabase" vbProcedure="false">Assumptions!$A$4:$I$54</definedName>
    <definedName function="false" hidden="false" localSheetId="5" name="_xlnm.Print_Titles" vbProcedure="false">Dependencies!$4:$4</definedName>
    <definedName function="false" hidden="true" localSheetId="5" name="_xlnm._FilterDatabase" vbProcedure="false">Dependencies!$A$4:$K$44</definedName>
    <definedName function="false" hidden="false" localSheetId="4" name="_xlnm.Print_Titles" vbProcedure="false">Issues!$4:$4</definedName>
    <definedName function="false" hidden="true" localSheetId="4" name="_xlnm._FilterDatabase" vbProcedure="false">Issues!$A$4:$P$64</definedName>
    <definedName function="false" hidden="false" localSheetId="2" name="_xlnm.Print_Titles" vbProcedure="false">Risks!$4:$4</definedName>
    <definedName function="false" hidden="true" localSheetId="2" name="_xlnm._FilterDatabase" vbProcedure="false">Risks!$A$4:$H$54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<sst xmlns="http://schemas.openxmlformats.org/spreadsheetml/2006/main" count="223" uniqueCount="177">
  <si>
    <t xml:space="preserve">[ORGANIZATION NAME]</t>
  </si>
  <si>
    <t xml:space="preserve">19 — RAID Log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</si>
  <si>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</si>
  <si>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</si>
  <si>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</si>
  <si>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</si>
  <si>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</si>
  <si>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Risk, Governance</t>
  </si>
  <si>
    <t xml:space="preserve">Project ID</t>
  </si>
  <si>
    <t xml:space="preserve">PRJ-2026-001</t>
  </si>
  <si>
    <t xml:space="preserve">Focus area(s)</t>
  </si>
  <si>
    <t xml:space="preserve">Executing, Monitoring &amp; Controlling</t>
  </si>
  <si>
    <t xml:space="preserve">Document ID</t>
  </si>
  <si>
    <t xml:space="preserve">PRJ-2026-001-RAID</t>
  </si>
  <si>
    <t xml:space="preserve">Toolkit</t>
  </si>
  <si>
    <t xml:space="preserve">PMI Predictive Project Management Toolkit</t>
  </si>
  <si>
    <t xml:space="preserve">Document title</t>
  </si>
  <si>
    <t xml:space="preserve">RAID Log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</si>
  <si>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</si>
  <si>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</si>
  <si>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</si>
  <si>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</si>
  <si>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</si>
  <si>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</si>
  <si>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</si>
  <si>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</si>
  <si>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</si>
  <si>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</si>
  <si>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</si>
  <si>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</si>
  <si>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</si>
  <si>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</si>
  <si>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</si>
  <si>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</si>
  <si>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</si>
  <si>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</si>
  <si>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</si>
  <si>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</si>
  <si>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</si>
  <si>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</si>
  <si>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</si>
  <si>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</si>
  <si>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</si>
  <si>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</si>
  <si>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</si>
  <si>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</si>
  <si>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</si>
  <si>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</si>
  <si>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</si>
  <si>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</si>
  <si>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</si>
  <si>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</si>
  <si>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</si>
  <si>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</si>
  <si>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</si>
  <si>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</si>
  <si>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</si>
  <si>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</si>
  <si>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Four logs in one workbook: Risks (summary view — the full register is doc 16), Assumptions, Issues and Dependencies.</t>
  </si>
  <si>
    <t xml:space="preserve">2. Review the RAID Log in the weekly team meeting; the Dashboard counts open items by priority and age.</t>
  </si>
  <si>
    <t xml:space="preserve">3. Escalate issues per the escalation path in the Integrated PMP (doc 02) and Communication Plan (doc 12).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</si>
  <si>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</si>
  <si>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</si>
  <si>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</si>
  <si>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19 — RAID Log  |  RAID Dashboard</t>
  </si>
  <si>
    <t xml:space="preserve">[Project Name]   •   PRJ-2026-001-RAID   •   v0.1 Draft   •   Internal</t>
  </si>
  <si>
    <t xml:space="preserve">Log</t>
  </si>
  <si>
    <t xml:space="preserve">Open</t>
  </si>
  <si>
    <t xml:space="preserve">In progress</t>
  </si>
  <si>
    <t xml:space="preserve">On hold</t>
  </si>
  <si>
    <t xml:space="preserve">Closed</t>
  </si>
  <si>
    <t xml:space="preserve">Total</t>
  </si>
  <si>
    <t xml:space="preserve">Risks</t>
  </si>
  <si>
    <t xml:space="preserve">Assumptions</t>
  </si>
  <si>
    <t xml:space="preserve">Issues</t>
  </si>
  <si>
    <t xml:space="preserve">Dependencies</t>
  </si>
  <si>
    <t xml:space="preserve">Open issues by priority</t>
  </si>
  <si>
    <t xml:space="preserve">Critical</t>
  </si>
  <si>
    <t xml:space="preserve">High</t>
  </si>
  <si>
    <t xml:space="preserve">Medium</t>
  </si>
  <si>
    <t xml:space="preserve">Low</t>
  </si>
  <si>
    <t xml:space="preserve">Overdue issues</t>
  </si>
  <si>
    <t xml:space="preserve">Average age of open issues (d)</t>
  </si>
  <si>
    <t xml:space="preserve">Red dependencies</t>
  </si>
  <si>
    <t xml:space="preserve">19 — RAID Log  |  Risks</t>
  </si>
  <si>
    <t xml:space="preserve">Risk ID (doc 16)</t>
  </si>
  <si>
    <t xml:space="preserve">Risk description</t>
  </si>
  <si>
    <t xml:space="preserve">Score</t>
  </si>
  <si>
    <t xml:space="preserve">ƒ Rating</t>
  </si>
  <si>
    <t xml:space="preserve">Owner</t>
  </si>
  <si>
    <t xml:space="preserve">Response summary</t>
  </si>
  <si>
    <t xml:space="preserve">Last updated</t>
  </si>
  <si>
    <t xml:space="preserve">R-001</t>
  </si>
  <si>
    <t xml:space="preserve">Supplier delivers key component late</t>
  </si>
  <si>
    <t xml:space="preserve">[PM]</t>
  </si>
  <si>
    <t xml:space="preserve">Weekly check-ins; alternate supplier</t>
  </si>
  <si>
    <t xml:space="preserve">19 — RAID Log  |  Assumptions</t>
  </si>
  <si>
    <t xml:space="preserve">Assumption ID</t>
  </si>
  <si>
    <t xml:space="preserve">Assumption</t>
  </si>
  <si>
    <t xml:space="preserve">Category</t>
  </si>
  <si>
    <t xml:space="preserve">Source</t>
  </si>
  <si>
    <t xml:space="preserve">Impact if false</t>
  </si>
  <si>
    <t xml:space="preserve">Validate by</t>
  </si>
  <si>
    <t xml:space="preserve">Validation status</t>
  </si>
  <si>
    <t xml:space="preserve">A-001</t>
  </si>
  <si>
    <t xml:space="preserve">Business SMEs available 4 h/week during requirements phase</t>
  </si>
  <si>
    <t xml:space="preserve">Resource</t>
  </si>
  <si>
    <t xml:space="preserve">Charter</t>
  </si>
  <si>
    <t xml:space="preserve">Requirements delayed; schedule slip</t>
  </si>
  <si>
    <t xml:space="preserve">[Business Owner]</t>
  </si>
  <si>
    <t xml:space="preserve">Not validated</t>
  </si>
  <si>
    <t xml:space="preserve">19 — RAID Log  |  Issues</t>
  </si>
  <si>
    <t xml:space="preserve">Issue ID</t>
  </si>
  <si>
    <t xml:space="preserve">Date raised</t>
  </si>
  <si>
    <t xml:space="preserve">Issue description</t>
  </si>
  <si>
    <t xml:space="preserve">Priority</t>
  </si>
  <si>
    <t xml:space="preserve">Impact</t>
  </si>
  <si>
    <t xml:space="preserve">Raised by</t>
  </si>
  <si>
    <t xml:space="preserve">Action / resolution</t>
  </si>
  <si>
    <t xml:space="preserve">Target date</t>
  </si>
  <si>
    <t xml:space="preserve">Escalation level</t>
  </si>
  <si>
    <t xml:space="preserve">Date closed</t>
  </si>
  <si>
    <t xml:space="preserve">ƒ Age (days)</t>
  </si>
  <si>
    <t xml:space="preserve">ƒ Overdue</t>
  </si>
  <si>
    <t xml:space="preserve">Related risk / CR</t>
  </si>
  <si>
    <t xml:space="preserve">I-001</t>
  </si>
  <si>
    <t xml:space="preserve">Test environment not available as planned</t>
  </si>
  <si>
    <t xml:space="preserve">Technical</t>
  </si>
  <si>
    <t xml:space="preserve">Testing start at risk (5 days)</t>
  </si>
  <si>
    <t xml:space="preserve">[QA Lead]</t>
  </si>
  <si>
    <t xml:space="preserve">[Tech Lead]</t>
  </si>
  <si>
    <t xml:space="preserve">Escalate to IT ops; use temporary environment</t>
  </si>
  <si>
    <t xml:space="preserve">1 - PM</t>
  </si>
  <si>
    <t xml:space="preserve">R-003</t>
  </si>
  <si>
    <t xml:space="preserve">19 — RAID Log  |  Dependencies</t>
  </si>
  <si>
    <t xml:space="preserve">Dependency ID</t>
  </si>
  <si>
    <t xml:space="preserve">Dependency description</t>
  </si>
  <si>
    <t xml:space="preserve">Type</t>
  </si>
  <si>
    <t xml:space="preserve">Direction</t>
  </si>
  <si>
    <t xml:space="preserve">Other party / project</t>
  </si>
  <si>
    <t xml:space="preserve">Deliverable / WBS affected</t>
  </si>
  <si>
    <t xml:space="preserve">Needed by</t>
  </si>
  <si>
    <t xml:space="preserve">Health (RAG)</t>
  </si>
  <si>
    <t xml:space="preserve">Comments</t>
  </si>
  <si>
    <t xml:space="preserve">D-001</t>
  </si>
  <si>
    <t xml:space="preserve">Network upgrade by IT Infrastructure project</t>
  </si>
  <si>
    <t xml:space="preserve">External</t>
  </si>
  <si>
    <t xml:space="preserve">Inbound (we need)</t>
  </si>
  <si>
    <t xml:space="preserve">[Infra project]</t>
  </si>
  <si>
    <t xml:space="preserve">1.6.2</t>
  </si>
  <si>
    <t xml:space="preserve">Green</t>
  </si>
  <si>
    <t xml:space="preserve">Score25</t>
  </si>
  <si>
    <t xml:space="preserve">ItemStatus</t>
  </si>
  <si>
    <t xml:space="preserve">ACat</t>
  </si>
  <si>
    <t xml:space="preserve">AVal</t>
  </si>
  <si>
    <t xml:space="preserve">ICat</t>
  </si>
  <si>
    <t xml:space="preserve">Esc</t>
  </si>
  <si>
    <t xml:space="preserve">DType</t>
  </si>
  <si>
    <t xml:space="preserve">Dir</t>
  </si>
  <si>
    <t xml:space="preserve">RAG</t>
  </si>
  <si>
    <t xml:space="preserve">Scope</t>
  </si>
  <si>
    <t xml:space="preserve">Validated</t>
  </si>
  <si>
    <t xml:space="preserve">Schedule</t>
  </si>
  <si>
    <t xml:space="preserve">2 - Sponsor</t>
  </si>
  <si>
    <t xml:space="preserve">Outbound (others need)</t>
  </si>
  <si>
    <t xml:space="preserve">Amber</t>
  </si>
  <si>
    <t xml:space="preserve">Financial</t>
  </si>
  <si>
    <t xml:space="preserve">Invalid – raise risk/issue</t>
  </si>
  <si>
    <t xml:space="preserve">Cost</t>
  </si>
  <si>
    <t xml:space="preserve">3 - Steering Committee</t>
  </si>
  <si>
    <t xml:space="preserve">Mandatory</t>
  </si>
  <si>
    <t xml:space="preserve">Red</t>
  </si>
  <si>
    <t xml:space="preserve">Quality</t>
  </si>
  <si>
    <t xml:space="preserve">Discretionary</t>
  </si>
  <si>
    <t xml:space="preserve">Business</t>
  </si>
  <si>
    <t xml:space="preserve">Stakeholder</t>
  </si>
  <si>
    <t xml:space="preserve">Vendor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</si>
</sst>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E5E8EB"/>
      </patternFill>
    </fill>
    <fill>
      <patternFill patternType="solid">
        <fgColor rgb="FFF3F6F9"/>
        <bgColor rgb="FFF9F9F9"/>
      </patternFill>
    </fill>
    <fill>
      <patternFill patternType="solid">
        <fgColor rgb="FFEAF2F2"/>
        <bgColor rgb="FFF3F6F9"/>
      </patternFill>
    </fill>
    <fill>
      <patternFill patternType="solid">
        <fgColor rgb="FF1380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F5B7A8"/>
          <bgColor rgb="FF000000"/>
        </patternFill>
      </fill>
    </dxf>
    <dxf>
      <fill>
        <patternFill patternType="solid">
          <fgColor rgb="FF7A1E10"/>
          <bgColor rgb="FF000000"/>
        </patternFill>
      </fill>
    </dxf>
    <dxf>
      <fill>
        <patternFill patternType="solid">
          <fgColor rgb="FFDCE8F2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C0392B"/>
        </patternFill>
      </fill>
    </dxf>
    <dxf>
      <font>
        <name val="Calibri"/>
        <charset val="1"/>
        <family val="0"/>
        <b val="1"/>
        <color rgb="FF7A1E10"/>
      </font>
      <fill>
        <patternFill>
          <bgColor rgb="FFF5B7A8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6B7785"/>
      </font>
      <fill>
        <patternFill>
          <bgColor rgb="FFE5E8EB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  <dxf>
      <fill>
        <patternFill patternType="solid">
          <fgColor rgb="FFD5EFDF"/>
          <bgColor rgb="FF000000"/>
        </patternFill>
      </fill>
    </dxf>
    <dxf>
      <fill>
        <patternFill patternType="solid">
          <fgColor rgb="FF2E8B5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3F6F9"/>
      <rgbColor rgb="FFFF00FF"/>
      <rgbColor rgb="FF00FFFF"/>
      <rgbColor rgb="FF7A1E10"/>
      <rgbColor rgb="FF008000"/>
      <rgbColor rgb="FF000080"/>
      <rgbColor rgb="FF8A6200"/>
      <rgbColor rgb="FF800080"/>
      <rgbColor rgb="FF13807E"/>
      <rgbColor rgb="FFB8C4D0"/>
      <rgbColor rgb="FF878787"/>
      <rgbColor rgb="FF9999FF"/>
      <rgbColor rgb="FFC0504D"/>
      <rgbColor rgb="FFFCEFC7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9F9F9"/>
      <rgbColor rgb="FF9FD3D1"/>
      <rgbColor rgb="FFF6D5D1"/>
      <rgbColor rgb="FFE5E8EB"/>
      <rgbColor rgb="FFF5B7A8"/>
      <rgbColor rgb="FF4F81BD"/>
      <rgbColor rgb="FF33CCCC"/>
      <rgbColor rgb="FF9BBB59"/>
      <rgbColor rgb="FFFFCC00"/>
      <rgbColor rgb="FFE0A100"/>
      <rgbColor rgb="FFFF6600"/>
      <rgbColor rgb="FF8064A2"/>
      <rgbColor rgb="FF6B7785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RAID items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Dashboard!$B$5:$B$8</c:f>
              <c:strCache>
                <c:ptCount val="4"/>
                <c:pt idx="0">
                  <c:v>Risks</c:v>
                </c:pt>
                <c:pt idx="1">
                  <c:v>Assumptions</c:v>
                </c:pt>
                <c:pt idx="2">
                  <c:v>Issues</c:v>
                </c:pt>
                <c:pt idx="3">
                  <c:v>Dependencies</c:v>
                </c:pt>
              </c:strCache>
            </c:strRef>
          </c:cat>
          <c:val>
            <c:numRef>
              <c:f>Dashboard!$C$5:$C$8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Dashboard!D4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Dashboard!$B$5:$B$8</c:f>
              <c:strCache>
                <c:ptCount val="4"/>
                <c:pt idx="0">
                  <c:v>Risks</c:v>
                </c:pt>
                <c:pt idx="1">
                  <c:v>Assumptions</c:v>
                </c:pt>
                <c:pt idx="2">
                  <c:v>Issues</c:v>
                </c:pt>
                <c:pt idx="3">
                  <c:v>Dependencies</c:v>
                </c:pt>
              </c:strCache>
            </c:strRef>
          </c:cat>
          <c:val>
            <c:numRef>
              <c:f>Dashboard!$D$5:$D$8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Dashboard!E4</c:f>
              <c:strCache>
                <c:ptCount val="1"/>
                <c:pt idx="0">
                  <c:v>On hold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Dashboard!$B$5:$B$8</c:f>
              <c:strCache>
                <c:ptCount val="4"/>
                <c:pt idx="0">
                  <c:v>Risks</c:v>
                </c:pt>
                <c:pt idx="1">
                  <c:v>Assumptions</c:v>
                </c:pt>
                <c:pt idx="2">
                  <c:v>Issues</c:v>
                </c:pt>
                <c:pt idx="3">
                  <c:v>Dependencies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Dashboard!F4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Dashboard!$B$5:$B$8</c:f>
              <c:strCache>
                <c:ptCount val="4"/>
                <c:pt idx="0">
                  <c:v>Risks</c:v>
                </c:pt>
                <c:pt idx="1">
                  <c:v>Assumptions</c:v>
                </c:pt>
                <c:pt idx="2">
                  <c:v>Issues</c:v>
                </c:pt>
                <c:pt idx="3">
                  <c:v>Dependencies</c:v>
                </c:pt>
              </c:strCache>
            </c:strRef>
          </c:cat>
          <c:val>
            <c:numRef>
              <c:f>Dashboard!$F$5:$F$8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36226009"/>
        <c:axId val="50081837"/>
      </c:barChart>
      <c:catAx>
        <c:axId val="36226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81837"/>
        <c:crosses val="autoZero"/>
        <c:auto val="1"/>
        <c:lblAlgn val="ctr"/>
        <c:lblOffset val="100"/>
        <c:noMultiLvlLbl val="0"/>
      </c:catAx>
      <c:valAx>
        <c:axId val="500818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26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147600</xdr:colOff>
      <xdr:row>17</xdr:row>
      <xdr:rowOff>32760</xdr:rowOff>
    </xdr:to>
    <xdr:graphicFrame>
      <xdr:nvGraphicFramePr>
        <xdr:cNvPr id="0" name="Chart 1"/>
        <xdr:cNvGraphicFramePr/>
      </xdr:nvGraphicFramePr>
      <xdr:xfrm>
        <a:off x="6179760" y="600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0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  <c r="F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</row>
    <row r="3" customFormat="false" ht="6" hidden="false" customHeight="true" outlineLevel="0" collapsed="false"/>
    <row r="4" customFormat="false" ht="15" hidden="false" customHeight="false" outlineLevel="0" collapsed="false">
      <c r="B4" s="9" t="s">
        <v>66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71</v>
      </c>
    </row>
    <row r="5" customFormat="false" ht="15" hidden="false" customHeight="false" outlineLevel="0" collapsed="false">
      <c r="B5" s="18" t="s">
        <v>72</v>
      </c>
      <c r="C5" s="19" t="n">
        <f aca="false">COUNTIF(Risks!$G$5:$G$200,"Open")</f>
        <v>1</v>
      </c>
      <c r="D5" s="19" t="n">
        <f aca="false">COUNTIF(Risks!$G$5:$G$200,"In progress")</f>
        <v>0</v>
      </c>
      <c r="E5" s="19" t="n">
        <f aca="false">COUNTIF(Risks!$G$5:$G$200,"On hold")</f>
        <v>0</v>
      </c>
      <c r="F5" s="19" t="n">
        <f aca="false">COUNTIF(Risks!$G$5:$G$200,"Closed")</f>
        <v>0</v>
      </c>
      <c r="G5" s="20" t="n">
        <f aca="false">COUNTA(Risks!$A$5:$A$200)</f>
        <v>1</v>
      </c>
    </row>
    <row r="6" customFormat="false" ht="15" hidden="false" customHeight="false" outlineLevel="0" collapsed="false">
      <c r="B6" s="18" t="s">
        <v>73</v>
      </c>
      <c r="C6" s="19" t="n">
        <f aca="false">COUNTIF(Assumptions!$I$5:$I$200,"Open")</f>
        <v>1</v>
      </c>
      <c r="D6" s="19" t="n">
        <f aca="false">COUNTIF(Assumptions!$I$5:$I$200,"In progress")</f>
        <v>0</v>
      </c>
      <c r="E6" s="19" t="n">
        <f aca="false">COUNTIF(Assumptions!$I$5:$I$200,"On hold")</f>
        <v>0</v>
      </c>
      <c r="F6" s="19" t="n">
        <f aca="false">COUNTIF(Assumptions!$I$5:$I$200,"Closed")</f>
        <v>0</v>
      </c>
      <c r="G6" s="20" t="n">
        <f aca="false">COUNTA(Assumptions!$A$5:$A$200)</f>
        <v>1</v>
      </c>
    </row>
    <row r="7" customFormat="false" ht="15" hidden="false" customHeight="false" outlineLevel="0" collapsed="false">
      <c r="B7" s="18" t="s">
        <v>74</v>
      </c>
      <c r="C7" s="19" t="n">
        <f aca="false">COUNTIF(Issues!$L$5:$L$200,"Open")</f>
        <v>1</v>
      </c>
      <c r="D7" s="19" t="n">
        <f aca="false">COUNTIF(Issues!$L$5:$L$200,"In progress")</f>
        <v>0</v>
      </c>
      <c r="E7" s="19" t="n">
        <f aca="false">COUNTIF(Issues!$L$5:$L$200,"On hold")</f>
        <v>0</v>
      </c>
      <c r="F7" s="19" t="n">
        <f aca="false">COUNTIF(Issues!$L$5:$L$200,"Closed")</f>
        <v>0</v>
      </c>
      <c r="G7" s="20" t="n">
        <f aca="false">COUNTA(Issues!$A$5:$A$200)</f>
        <v>1</v>
      </c>
    </row>
    <row r="8" customFormat="false" ht="15" hidden="false" customHeight="false" outlineLevel="0" collapsed="false">
      <c r="B8" s="18" t="s">
        <v>75</v>
      </c>
      <c r="C8" s="19" t="n">
        <f aca="false">COUNTIF(Dependencies!$J$5:$J$200,"Open")</f>
        <v>1</v>
      </c>
      <c r="D8" s="19" t="n">
        <f aca="false">COUNTIF(Dependencies!$J$5:$J$200,"In progress")</f>
        <v>0</v>
      </c>
      <c r="E8" s="19" t="n">
        <f aca="false">COUNTIF(Dependencies!$J$5:$J$200,"On hold")</f>
        <v>0</v>
      </c>
      <c r="F8" s="19" t="n">
        <f aca="false">COUNTIF(Dependencies!$J$5:$J$200,"Closed")</f>
        <v>0</v>
      </c>
      <c r="G8" s="20" t="n">
        <f aca="false">COUNTA(Dependencies!$A$5:$A$200)</f>
        <v>1</v>
      </c>
    </row>
    <row r="11" customFormat="false" ht="15" hidden="false" customHeight="false" outlineLevel="0" collapsed="false">
      <c r="B11" s="21" t="s">
        <v>76</v>
      </c>
    </row>
    <row r="12" customFormat="false" ht="15" hidden="false" customHeight="false" outlineLevel="0" collapsed="false">
      <c r="B12" s="22" t="s">
        <v>77</v>
      </c>
      <c r="C12" s="19" t="n">
        <f aca="false">COUNTIFS(Issues!$E$5:$E$200,"Critical",Issues!$L$5:$L$200,"&lt;&gt;Closed")</f>
        <v>0</v>
      </c>
    </row>
    <row r="13" customFormat="false" ht="15" hidden="false" customHeight="false" outlineLevel="0" collapsed="false">
      <c r="B13" s="22" t="s">
        <v>78</v>
      </c>
      <c r="C13" s="19" t="n">
        <f aca="false">COUNTIFS(Issues!$E$5:$E$200,"High",Issues!$L$5:$L$200,"&lt;&gt;Closed")</f>
        <v>1</v>
      </c>
    </row>
    <row r="14" customFormat="false" ht="15" hidden="false" customHeight="false" outlineLevel="0" collapsed="false">
      <c r="B14" s="22" t="s">
        <v>79</v>
      </c>
      <c r="C14" s="19" t="n">
        <f aca="false">COUNTIFS(Issues!$E$5:$E$200,"Medium",Issues!$L$5:$L$200,"&lt;&gt;Closed")</f>
        <v>0</v>
      </c>
    </row>
    <row r="15" customFormat="false" ht="15" hidden="false" customHeight="false" outlineLevel="0" collapsed="false">
      <c r="B15" s="22" t="s">
        <v>80</v>
      </c>
      <c r="C15" s="19" t="n">
        <f aca="false">COUNTIFS(Issues!$E$5:$E$200,"Low",Issues!$L$5:$L$200,"&lt;&gt;Closed")</f>
        <v>0</v>
      </c>
    </row>
    <row r="17" customFormat="false" ht="15" hidden="false" customHeight="false" outlineLevel="0" collapsed="false">
      <c r="B17" s="18" t="s">
        <v>81</v>
      </c>
      <c r="C17" s="20" t="n">
        <f aca="false">COUNTIF(Issues!$O$5:$O$200,"Yes")</f>
        <v>0</v>
      </c>
    </row>
    <row r="18" customFormat="false" ht="15" hidden="false" customHeight="false" outlineLevel="0" collapsed="false">
      <c r="B18" s="18" t="s">
        <v>82</v>
      </c>
      <c r="C18" s="23" t="n">
        <f aca="false">IFERROR(AVERAGEIFS(Issues!$N$5:$N$200,Issues!$L$5:$L$200,"&lt;&gt;Closed",Issues!$A$5:$A$200,"&lt;&gt;"),0)</f>
        <v>7</v>
      </c>
    </row>
    <row r="19" customFormat="false" ht="15" hidden="false" customHeight="false" outlineLevel="0" collapsed="false">
      <c r="B19" s="18" t="s">
        <v>83</v>
      </c>
      <c r="C19" s="20" t="n">
        <f aca="false">COUNTIF(Dependencies!$I$5:$I$200,"Red")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1"/>
  </cols>
  <sheetData>
    <row r="1" customFormat="false" ht="25.5" hidden="false" customHeight="true" outlineLevel="0" collapsed="false">
      <c r="A1" s="16" t="s">
        <v>84</v>
      </c>
      <c r="B1" s="16"/>
      <c r="C1" s="16"/>
      <c r="D1" s="16"/>
      <c r="E1" s="16"/>
      <c r="F1" s="16"/>
      <c r="G1" s="16"/>
      <c r="H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</row>
    <row r="3" customFormat="false" ht="6" hidden="false" customHeight="true" outlineLevel="0" collapsed="false"/>
    <row r="4" customFormat="false" ht="33.75" hidden="false" customHeight="true" outlineLevel="0" collapsed="false">
      <c r="A4" s="24" t="s">
        <v>85</v>
      </c>
      <c r="B4" s="24" t="s">
        <v>86</v>
      </c>
      <c r="C4" s="24" t="s">
        <v>87</v>
      </c>
      <c r="D4" s="25" t="s">
        <v>88</v>
      </c>
      <c r="E4" s="24" t="s">
        <v>89</v>
      </c>
      <c r="F4" s="24" t="s">
        <v>90</v>
      </c>
      <c r="G4" s="24" t="s">
        <v>22</v>
      </c>
      <c r="H4" s="24" t="s">
        <v>91</v>
      </c>
    </row>
    <row r="5" customFormat="false" ht="15" hidden="false" customHeight="false" outlineLevel="0" collapsed="false">
      <c r="A5" s="26" t="s">
        <v>92</v>
      </c>
      <c r="B5" s="26" t="s">
        <v>93</v>
      </c>
      <c r="C5" s="27" t="n">
        <v>12</v>
      </c>
      <c r="D5" s="28" t="str">
        <f aca="false">IF(C5="","",IF(C5&gt;=16,"Critical",IF(C5&gt;=10,"High",IF(C5&gt;=5,"Medium","Low"))))</f>
        <v>High</v>
      </c>
      <c r="E5" s="26" t="s">
        <v>94</v>
      </c>
      <c r="F5" s="26" t="s">
        <v>95</v>
      </c>
      <c r="G5" s="26" t="s">
        <v>67</v>
      </c>
      <c r="H5" s="29" t="n">
        <v>46315</v>
      </c>
    </row>
    <row r="6" customFormat="false" ht="15" hidden="false" customHeight="false" outlineLevel="0" collapsed="false">
      <c r="A6" s="30"/>
      <c r="B6" s="30"/>
      <c r="C6" s="31"/>
      <c r="D6" s="28" t="str">
        <f aca="false">IF(C6="","",IF(C6&gt;=16,"Critical",IF(C6&gt;=10,"High",IF(C6&gt;=5,"Medium","Low"))))</f>
        <v/>
      </c>
      <c r="E6" s="30"/>
      <c r="F6" s="30"/>
      <c r="G6" s="30"/>
      <c r="H6" s="32"/>
    </row>
    <row r="7" customFormat="false" ht="15" hidden="false" customHeight="false" outlineLevel="0" collapsed="false">
      <c r="A7" s="33"/>
      <c r="B7" s="33"/>
      <c r="C7" s="34"/>
      <c r="D7" s="28" t="str">
        <f aca="false">IF(C7="","",IF(C7&gt;=16,"Critical",IF(C7&gt;=10,"High",IF(C7&gt;=5,"Medium","Low"))))</f>
        <v/>
      </c>
      <c r="E7" s="33"/>
      <c r="F7" s="33"/>
      <c r="G7" s="33"/>
      <c r="H7" s="35"/>
    </row>
    <row r="8" customFormat="false" ht="15" hidden="false" customHeight="false" outlineLevel="0" collapsed="false">
      <c r="A8" s="30"/>
      <c r="B8" s="30"/>
      <c r="C8" s="31"/>
      <c r="D8" s="28" t="str">
        <f aca="false">IF(C8="","",IF(C8&gt;=16,"Critical",IF(C8&gt;=10,"High",IF(C8&gt;=5,"Medium","Low"))))</f>
        <v/>
      </c>
      <c r="E8" s="30"/>
      <c r="F8" s="30"/>
      <c r="G8" s="30"/>
      <c r="H8" s="32"/>
    </row>
    <row r="9" customFormat="false" ht="15" hidden="false" customHeight="false" outlineLevel="0" collapsed="false">
      <c r="A9" s="33"/>
      <c r="B9" s="33"/>
      <c r="C9" s="34"/>
      <c r="D9" s="28" t="str">
        <f aca="false">IF(C9="","",IF(C9&gt;=16,"Critical",IF(C9&gt;=10,"High",IF(C9&gt;=5,"Medium","Low"))))</f>
        <v/>
      </c>
      <c r="E9" s="33"/>
      <c r="F9" s="33"/>
      <c r="G9" s="33"/>
      <c r="H9" s="35"/>
    </row>
    <row r="10" customFormat="false" ht="15" hidden="false" customHeight="false" outlineLevel="0" collapsed="false">
      <c r="A10" s="30"/>
      <c r="B10" s="30"/>
      <c r="C10" s="31"/>
      <c r="D10" s="28" t="str">
        <f aca="false">IF(C10="","",IF(C10&gt;=16,"Critical",IF(C10&gt;=10,"High",IF(C10&gt;=5,"Medium","Low"))))</f>
        <v/>
      </c>
      <c r="E10" s="30"/>
      <c r="F10" s="30"/>
      <c r="G10" s="30"/>
      <c r="H10" s="32"/>
    </row>
    <row r="11" customFormat="false" ht="15" hidden="false" customHeight="false" outlineLevel="0" collapsed="false">
      <c r="A11" s="33"/>
      <c r="B11" s="33"/>
      <c r="C11" s="34"/>
      <c r="D11" s="28" t="str">
        <f aca="false">IF(C11="","",IF(C11&gt;=16,"Critical",IF(C11&gt;=10,"High",IF(C11&gt;=5,"Medium","Low"))))</f>
        <v/>
      </c>
      <c r="E11" s="33"/>
      <c r="F11" s="33"/>
      <c r="G11" s="33"/>
      <c r="H11" s="35"/>
    </row>
    <row r="12" customFormat="false" ht="15" hidden="false" customHeight="false" outlineLevel="0" collapsed="false">
      <c r="A12" s="30"/>
      <c r="B12" s="30"/>
      <c r="C12" s="31"/>
      <c r="D12" s="28" t="str">
        <f aca="false">IF(C12="","",IF(C12&gt;=16,"Critical",IF(C12&gt;=10,"High",IF(C12&gt;=5,"Medium","Low"))))</f>
        <v/>
      </c>
      <c r="E12" s="30"/>
      <c r="F12" s="30"/>
      <c r="G12" s="30"/>
      <c r="H12" s="32"/>
    </row>
    <row r="13" customFormat="false" ht="15" hidden="false" customHeight="false" outlineLevel="0" collapsed="false">
      <c r="A13" s="33"/>
      <c r="B13" s="33"/>
      <c r="C13" s="34"/>
      <c r="D13" s="28" t="str">
        <f aca="false">IF(C13="","",IF(C13&gt;=16,"Critical",IF(C13&gt;=10,"High",IF(C13&gt;=5,"Medium","Low"))))</f>
        <v/>
      </c>
      <c r="E13" s="33"/>
      <c r="F13" s="33"/>
      <c r="G13" s="33"/>
      <c r="H13" s="35"/>
    </row>
    <row r="14" customFormat="false" ht="15" hidden="false" customHeight="false" outlineLevel="0" collapsed="false">
      <c r="A14" s="30"/>
      <c r="B14" s="30"/>
      <c r="C14" s="31"/>
      <c r="D14" s="28" t="str">
        <f aca="false">IF(C14="","",IF(C14&gt;=16,"Critical",IF(C14&gt;=10,"High",IF(C14&gt;=5,"Medium","Low"))))</f>
        <v/>
      </c>
      <c r="E14" s="30"/>
      <c r="F14" s="30"/>
      <c r="G14" s="30"/>
      <c r="H14" s="32"/>
    </row>
    <row r="15" customFormat="false" ht="15" hidden="false" customHeight="false" outlineLevel="0" collapsed="false">
      <c r="A15" s="33"/>
      <c r="B15" s="33"/>
      <c r="C15" s="34"/>
      <c r="D15" s="28" t="str">
        <f aca="false">IF(C15="","",IF(C15&gt;=16,"Critical",IF(C15&gt;=10,"High",IF(C15&gt;=5,"Medium","Low"))))</f>
        <v/>
      </c>
      <c r="E15" s="33"/>
      <c r="F15" s="33"/>
      <c r="G15" s="33"/>
      <c r="H15" s="35"/>
    </row>
    <row r="16" customFormat="false" ht="15" hidden="false" customHeight="false" outlineLevel="0" collapsed="false">
      <c r="A16" s="30"/>
      <c r="B16" s="30"/>
      <c r="C16" s="31"/>
      <c r="D16" s="28" t="str">
        <f aca="false">IF(C16="","",IF(C16&gt;=16,"Critical",IF(C16&gt;=10,"High",IF(C16&gt;=5,"Medium","Low"))))</f>
        <v/>
      </c>
      <c r="E16" s="30"/>
      <c r="F16" s="30"/>
      <c r="G16" s="30"/>
      <c r="H16" s="32"/>
    </row>
    <row r="17" customFormat="false" ht="15" hidden="false" customHeight="false" outlineLevel="0" collapsed="false">
      <c r="A17" s="33"/>
      <c r="B17" s="33"/>
      <c r="C17" s="34"/>
      <c r="D17" s="28" t="str">
        <f aca="false">IF(C17="","",IF(C17&gt;=16,"Critical",IF(C17&gt;=10,"High",IF(C17&gt;=5,"Medium","Low"))))</f>
        <v/>
      </c>
      <c r="E17" s="33"/>
      <c r="F17" s="33"/>
      <c r="G17" s="33"/>
      <c r="H17" s="35"/>
    </row>
    <row r="18" customFormat="false" ht="15" hidden="false" customHeight="false" outlineLevel="0" collapsed="false">
      <c r="A18" s="30"/>
      <c r="B18" s="30"/>
      <c r="C18" s="31"/>
      <c r="D18" s="28" t="str">
        <f aca="false">IF(C18="","",IF(C18&gt;=16,"Critical",IF(C18&gt;=10,"High",IF(C18&gt;=5,"Medium","Low"))))</f>
        <v/>
      </c>
      <c r="E18" s="30"/>
      <c r="F18" s="30"/>
      <c r="G18" s="30"/>
      <c r="H18" s="32"/>
    </row>
    <row r="19" customFormat="false" ht="15" hidden="false" customHeight="false" outlineLevel="0" collapsed="false">
      <c r="A19" s="33"/>
      <c r="B19" s="33"/>
      <c r="C19" s="34"/>
      <c r="D19" s="28" t="str">
        <f aca="false">IF(C19="","",IF(C19&gt;=16,"Critical",IF(C19&gt;=10,"High",IF(C19&gt;=5,"Medium","Low"))))</f>
        <v/>
      </c>
      <c r="E19" s="33"/>
      <c r="F19" s="33"/>
      <c r="G19" s="33"/>
      <c r="H19" s="35"/>
    </row>
    <row r="20" customFormat="false" ht="15" hidden="false" customHeight="false" outlineLevel="0" collapsed="false">
      <c r="A20" s="30"/>
      <c r="B20" s="30"/>
      <c r="C20" s="31"/>
      <c r="D20" s="28" t="str">
        <f aca="false">IF(C20="","",IF(C20&gt;=16,"Critical",IF(C20&gt;=10,"High",IF(C20&gt;=5,"Medium","Low"))))</f>
        <v/>
      </c>
      <c r="E20" s="30"/>
      <c r="F20" s="30"/>
      <c r="G20" s="30"/>
      <c r="H20" s="32"/>
    </row>
    <row r="21" customFormat="false" ht="15" hidden="false" customHeight="false" outlineLevel="0" collapsed="false">
      <c r="A21" s="33"/>
      <c r="B21" s="33"/>
      <c r="C21" s="34"/>
      <c r="D21" s="28" t="str">
        <f aca="false">IF(C21="","",IF(C21&gt;=16,"Critical",IF(C21&gt;=10,"High",IF(C21&gt;=5,"Medium","Low"))))</f>
        <v/>
      </c>
      <c r="E21" s="33"/>
      <c r="F21" s="33"/>
      <c r="G21" s="33"/>
      <c r="H21" s="35"/>
    </row>
    <row r="22" customFormat="false" ht="15" hidden="false" customHeight="false" outlineLevel="0" collapsed="false">
      <c r="A22" s="30"/>
      <c r="B22" s="30"/>
      <c r="C22" s="31"/>
      <c r="D22" s="28" t="str">
        <f aca="false">IF(C22="","",IF(C22&gt;=16,"Critical",IF(C22&gt;=10,"High",IF(C22&gt;=5,"Medium","Low"))))</f>
        <v/>
      </c>
      <c r="E22" s="30"/>
      <c r="F22" s="30"/>
      <c r="G22" s="30"/>
      <c r="H22" s="32"/>
    </row>
    <row r="23" customFormat="false" ht="15" hidden="false" customHeight="false" outlineLevel="0" collapsed="false">
      <c r="A23" s="33"/>
      <c r="B23" s="33"/>
      <c r="C23" s="34"/>
      <c r="D23" s="28" t="str">
        <f aca="false">IF(C23="","",IF(C23&gt;=16,"Critical",IF(C23&gt;=10,"High",IF(C23&gt;=5,"Medium","Low"))))</f>
        <v/>
      </c>
      <c r="E23" s="33"/>
      <c r="F23" s="33"/>
      <c r="G23" s="33"/>
      <c r="H23" s="35"/>
    </row>
    <row r="24" customFormat="false" ht="15" hidden="false" customHeight="false" outlineLevel="0" collapsed="false">
      <c r="A24" s="30"/>
      <c r="B24" s="30"/>
      <c r="C24" s="31"/>
      <c r="D24" s="28" t="str">
        <f aca="false">IF(C24="","",IF(C24&gt;=16,"Critical",IF(C24&gt;=10,"High",IF(C24&gt;=5,"Medium","Low"))))</f>
        <v/>
      </c>
      <c r="E24" s="30"/>
      <c r="F24" s="30"/>
      <c r="G24" s="30"/>
      <c r="H24" s="32"/>
    </row>
    <row r="25" customFormat="false" ht="15" hidden="false" customHeight="false" outlineLevel="0" collapsed="false">
      <c r="A25" s="33"/>
      <c r="B25" s="33"/>
      <c r="C25" s="34"/>
      <c r="D25" s="28" t="str">
        <f aca="false">IF(C25="","",IF(C25&gt;=16,"Critical",IF(C25&gt;=10,"High",IF(C25&gt;=5,"Medium","Low"))))</f>
        <v/>
      </c>
      <c r="E25" s="33"/>
      <c r="F25" s="33"/>
      <c r="G25" s="33"/>
      <c r="H25" s="35"/>
    </row>
    <row r="26" customFormat="false" ht="15" hidden="false" customHeight="false" outlineLevel="0" collapsed="false">
      <c r="A26" s="30"/>
      <c r="B26" s="30"/>
      <c r="C26" s="31"/>
      <c r="D26" s="28" t="str">
        <f aca="false">IF(C26="","",IF(C26&gt;=16,"Critical",IF(C26&gt;=10,"High",IF(C26&gt;=5,"Medium","Low"))))</f>
        <v/>
      </c>
      <c r="E26" s="30"/>
      <c r="F26" s="30"/>
      <c r="G26" s="30"/>
      <c r="H26" s="32"/>
    </row>
    <row r="27" customFormat="false" ht="15" hidden="false" customHeight="false" outlineLevel="0" collapsed="false">
      <c r="A27" s="33"/>
      <c r="B27" s="33"/>
      <c r="C27" s="34"/>
      <c r="D27" s="28" t="str">
        <f aca="false">IF(C27="","",IF(C27&gt;=16,"Critical",IF(C27&gt;=10,"High",IF(C27&gt;=5,"Medium","Low"))))</f>
        <v/>
      </c>
      <c r="E27" s="33"/>
      <c r="F27" s="33"/>
      <c r="G27" s="33"/>
      <c r="H27" s="35"/>
    </row>
    <row r="28" customFormat="false" ht="15" hidden="false" customHeight="false" outlineLevel="0" collapsed="false">
      <c r="A28" s="30"/>
      <c r="B28" s="30"/>
      <c r="C28" s="31"/>
      <c r="D28" s="28" t="str">
        <f aca="false">IF(C28="","",IF(C28&gt;=16,"Critical",IF(C28&gt;=10,"High",IF(C28&gt;=5,"Medium","Low"))))</f>
        <v/>
      </c>
      <c r="E28" s="30"/>
      <c r="F28" s="30"/>
      <c r="G28" s="30"/>
      <c r="H28" s="32"/>
    </row>
    <row r="29" customFormat="false" ht="15" hidden="false" customHeight="false" outlineLevel="0" collapsed="false">
      <c r="A29" s="33"/>
      <c r="B29" s="33"/>
      <c r="C29" s="34"/>
      <c r="D29" s="28" t="str">
        <f aca="false">IF(C29="","",IF(C29&gt;=16,"Critical",IF(C29&gt;=10,"High",IF(C29&gt;=5,"Medium","Low"))))</f>
        <v/>
      </c>
      <c r="E29" s="33"/>
      <c r="F29" s="33"/>
      <c r="G29" s="33"/>
      <c r="H29" s="35"/>
    </row>
    <row r="30" customFormat="false" ht="15" hidden="false" customHeight="false" outlineLevel="0" collapsed="false">
      <c r="A30" s="30"/>
      <c r="B30" s="30"/>
      <c r="C30" s="31"/>
      <c r="D30" s="28" t="str">
        <f aca="false">IF(C30="","",IF(C30&gt;=16,"Critical",IF(C30&gt;=10,"High",IF(C30&gt;=5,"Medium","Low"))))</f>
        <v/>
      </c>
      <c r="E30" s="30"/>
      <c r="F30" s="30"/>
      <c r="G30" s="30"/>
      <c r="H30" s="32"/>
    </row>
    <row r="31" customFormat="false" ht="15" hidden="false" customHeight="false" outlineLevel="0" collapsed="false">
      <c r="A31" s="33"/>
      <c r="B31" s="33"/>
      <c r="C31" s="34"/>
      <c r="D31" s="28" t="str">
        <f aca="false">IF(C31="","",IF(C31&gt;=16,"Critical",IF(C31&gt;=10,"High",IF(C31&gt;=5,"Medium","Low"))))</f>
        <v/>
      </c>
      <c r="E31" s="33"/>
      <c r="F31" s="33"/>
      <c r="G31" s="33"/>
      <c r="H31" s="35"/>
    </row>
    <row r="32" customFormat="false" ht="15" hidden="false" customHeight="false" outlineLevel="0" collapsed="false">
      <c r="A32" s="30"/>
      <c r="B32" s="30"/>
      <c r="C32" s="31"/>
      <c r="D32" s="28" t="str">
        <f aca="false">IF(C32="","",IF(C32&gt;=16,"Critical",IF(C32&gt;=10,"High",IF(C32&gt;=5,"Medium","Low"))))</f>
        <v/>
      </c>
      <c r="E32" s="30"/>
      <c r="F32" s="30"/>
      <c r="G32" s="30"/>
      <c r="H32" s="32"/>
    </row>
    <row r="33" customFormat="false" ht="15" hidden="false" customHeight="false" outlineLevel="0" collapsed="false">
      <c r="A33" s="33"/>
      <c r="B33" s="33"/>
      <c r="C33" s="34"/>
      <c r="D33" s="28" t="str">
        <f aca="false">IF(C33="","",IF(C33&gt;=16,"Critical",IF(C33&gt;=10,"High",IF(C33&gt;=5,"Medium","Low"))))</f>
        <v/>
      </c>
      <c r="E33" s="33"/>
      <c r="F33" s="33"/>
      <c r="G33" s="33"/>
      <c r="H33" s="35"/>
    </row>
    <row r="34" customFormat="false" ht="15" hidden="false" customHeight="false" outlineLevel="0" collapsed="false">
      <c r="A34" s="30"/>
      <c r="B34" s="30"/>
      <c r="C34" s="31"/>
      <c r="D34" s="28" t="str">
        <f aca="false">IF(C34="","",IF(C34&gt;=16,"Critical",IF(C34&gt;=10,"High",IF(C34&gt;=5,"Medium","Low"))))</f>
        <v/>
      </c>
      <c r="E34" s="30"/>
      <c r="F34" s="30"/>
      <c r="G34" s="30"/>
      <c r="H34" s="32"/>
    </row>
    <row r="35" customFormat="false" ht="15" hidden="false" customHeight="false" outlineLevel="0" collapsed="false">
      <c r="A35" s="33"/>
      <c r="B35" s="33"/>
      <c r="C35" s="34"/>
      <c r="D35" s="28" t="str">
        <f aca="false">IF(C35="","",IF(C35&gt;=16,"Critical",IF(C35&gt;=10,"High",IF(C35&gt;=5,"Medium","Low"))))</f>
        <v/>
      </c>
      <c r="E35" s="33"/>
      <c r="F35" s="33"/>
      <c r="G35" s="33"/>
      <c r="H35" s="35"/>
    </row>
    <row r="36" customFormat="false" ht="15" hidden="false" customHeight="false" outlineLevel="0" collapsed="false">
      <c r="A36" s="30"/>
      <c r="B36" s="30"/>
      <c r="C36" s="31"/>
      <c r="D36" s="28" t="str">
        <f aca="false">IF(C36="","",IF(C36&gt;=16,"Critical",IF(C36&gt;=10,"High",IF(C36&gt;=5,"Medium","Low"))))</f>
        <v/>
      </c>
      <c r="E36" s="30"/>
      <c r="F36" s="30"/>
      <c r="G36" s="30"/>
      <c r="H36" s="32"/>
    </row>
    <row r="37" customFormat="false" ht="15" hidden="false" customHeight="false" outlineLevel="0" collapsed="false">
      <c r="A37" s="33"/>
      <c r="B37" s="33"/>
      <c r="C37" s="34"/>
      <c r="D37" s="28" t="str">
        <f aca="false">IF(C37="","",IF(C37&gt;=16,"Critical",IF(C37&gt;=10,"High",IF(C37&gt;=5,"Medium","Low"))))</f>
        <v/>
      </c>
      <c r="E37" s="33"/>
      <c r="F37" s="33"/>
      <c r="G37" s="33"/>
      <c r="H37" s="35"/>
    </row>
    <row r="38" customFormat="false" ht="15" hidden="false" customHeight="false" outlineLevel="0" collapsed="false">
      <c r="A38" s="30"/>
      <c r="B38" s="30"/>
      <c r="C38" s="31"/>
      <c r="D38" s="28" t="str">
        <f aca="false">IF(C38="","",IF(C38&gt;=16,"Critical",IF(C38&gt;=10,"High",IF(C38&gt;=5,"Medium","Low"))))</f>
        <v/>
      </c>
      <c r="E38" s="30"/>
      <c r="F38" s="30"/>
      <c r="G38" s="30"/>
      <c r="H38" s="32"/>
    </row>
    <row r="39" customFormat="false" ht="15" hidden="false" customHeight="false" outlineLevel="0" collapsed="false">
      <c r="A39" s="33"/>
      <c r="B39" s="33"/>
      <c r="C39" s="34"/>
      <c r="D39" s="28" t="str">
        <f aca="false">IF(C39="","",IF(C39&gt;=16,"Critical",IF(C39&gt;=10,"High",IF(C39&gt;=5,"Medium","Low"))))</f>
        <v/>
      </c>
      <c r="E39" s="33"/>
      <c r="F39" s="33"/>
      <c r="G39" s="33"/>
      <c r="H39" s="35"/>
    </row>
    <row r="40" customFormat="false" ht="15" hidden="false" customHeight="false" outlineLevel="0" collapsed="false">
      <c r="A40" s="30"/>
      <c r="B40" s="30"/>
      <c r="C40" s="31"/>
      <c r="D40" s="28" t="str">
        <f aca="false">IF(C40="","",IF(C40&gt;=16,"Critical",IF(C40&gt;=10,"High",IF(C40&gt;=5,"Medium","Low"))))</f>
        <v/>
      </c>
      <c r="E40" s="30"/>
      <c r="F40" s="30"/>
      <c r="G40" s="30"/>
      <c r="H40" s="32"/>
    </row>
    <row r="41" customFormat="false" ht="15" hidden="false" customHeight="false" outlineLevel="0" collapsed="false">
      <c r="A41" s="33"/>
      <c r="B41" s="33"/>
      <c r="C41" s="34"/>
      <c r="D41" s="28" t="str">
        <f aca="false">IF(C41="","",IF(C41&gt;=16,"Critical",IF(C41&gt;=10,"High",IF(C41&gt;=5,"Medium","Low"))))</f>
        <v/>
      </c>
      <c r="E41" s="33"/>
      <c r="F41" s="33"/>
      <c r="G41" s="33"/>
      <c r="H41" s="35"/>
    </row>
    <row r="42" customFormat="false" ht="15" hidden="false" customHeight="false" outlineLevel="0" collapsed="false">
      <c r="A42" s="30"/>
      <c r="B42" s="30"/>
      <c r="C42" s="31"/>
      <c r="D42" s="28" t="str">
        <f aca="false">IF(C42="","",IF(C42&gt;=16,"Critical",IF(C42&gt;=10,"High",IF(C42&gt;=5,"Medium","Low"))))</f>
        <v/>
      </c>
      <c r="E42" s="30"/>
      <c r="F42" s="30"/>
      <c r="G42" s="30"/>
      <c r="H42" s="32"/>
    </row>
    <row r="43" customFormat="false" ht="15" hidden="false" customHeight="false" outlineLevel="0" collapsed="false">
      <c r="A43" s="33"/>
      <c r="B43" s="33"/>
      <c r="C43" s="34"/>
      <c r="D43" s="28" t="str">
        <f aca="false">IF(C43="","",IF(C43&gt;=16,"Critical",IF(C43&gt;=10,"High",IF(C43&gt;=5,"Medium","Low"))))</f>
        <v/>
      </c>
      <c r="E43" s="33"/>
      <c r="F43" s="33"/>
      <c r="G43" s="33"/>
      <c r="H43" s="35"/>
    </row>
    <row r="44" customFormat="false" ht="15" hidden="false" customHeight="false" outlineLevel="0" collapsed="false">
      <c r="A44" s="30"/>
      <c r="B44" s="30"/>
      <c r="C44" s="31"/>
      <c r="D44" s="28" t="str">
        <f aca="false">IF(C44="","",IF(C44&gt;=16,"Critical",IF(C44&gt;=10,"High",IF(C44&gt;=5,"Medium","Low"))))</f>
        <v/>
      </c>
      <c r="E44" s="30"/>
      <c r="F44" s="30"/>
      <c r="G44" s="30"/>
      <c r="H44" s="32"/>
    </row>
    <row r="45" customFormat="false" ht="15" hidden="false" customHeight="false" outlineLevel="0" collapsed="false">
      <c r="A45" s="33"/>
      <c r="B45" s="33"/>
      <c r="C45" s="34"/>
      <c r="D45" s="28" t="str">
        <f aca="false">IF(C45="","",IF(C45&gt;=16,"Critical",IF(C45&gt;=10,"High",IF(C45&gt;=5,"Medium","Low"))))</f>
        <v/>
      </c>
      <c r="E45" s="33"/>
      <c r="F45" s="33"/>
      <c r="G45" s="33"/>
      <c r="H45" s="35"/>
    </row>
    <row r="46" customFormat="false" ht="15" hidden="false" customHeight="false" outlineLevel="0" collapsed="false">
      <c r="A46" s="30"/>
      <c r="B46" s="30"/>
      <c r="C46" s="31"/>
      <c r="D46" s="28" t="str">
        <f aca="false">IF(C46="","",IF(C46&gt;=16,"Critical",IF(C46&gt;=10,"High",IF(C46&gt;=5,"Medium","Low"))))</f>
        <v/>
      </c>
      <c r="E46" s="30"/>
      <c r="F46" s="30"/>
      <c r="G46" s="30"/>
      <c r="H46" s="32"/>
    </row>
    <row r="47" customFormat="false" ht="15" hidden="false" customHeight="false" outlineLevel="0" collapsed="false">
      <c r="A47" s="33"/>
      <c r="B47" s="33"/>
      <c r="C47" s="34"/>
      <c r="D47" s="28" t="str">
        <f aca="false">IF(C47="","",IF(C47&gt;=16,"Critical",IF(C47&gt;=10,"High",IF(C47&gt;=5,"Medium","Low"))))</f>
        <v/>
      </c>
      <c r="E47" s="33"/>
      <c r="F47" s="33"/>
      <c r="G47" s="33"/>
      <c r="H47" s="35"/>
    </row>
    <row r="48" customFormat="false" ht="15" hidden="false" customHeight="false" outlineLevel="0" collapsed="false">
      <c r="A48" s="30"/>
      <c r="B48" s="30"/>
      <c r="C48" s="31"/>
      <c r="D48" s="28" t="str">
        <f aca="false">IF(C48="","",IF(C48&gt;=16,"Critical",IF(C48&gt;=10,"High",IF(C48&gt;=5,"Medium","Low"))))</f>
        <v/>
      </c>
      <c r="E48" s="30"/>
      <c r="F48" s="30"/>
      <c r="G48" s="30"/>
      <c r="H48" s="32"/>
    </row>
    <row r="49" customFormat="false" ht="15" hidden="false" customHeight="false" outlineLevel="0" collapsed="false">
      <c r="A49" s="33"/>
      <c r="B49" s="33"/>
      <c r="C49" s="34"/>
      <c r="D49" s="28" t="str">
        <f aca="false">IF(C49="","",IF(C49&gt;=16,"Critical",IF(C49&gt;=10,"High",IF(C49&gt;=5,"Medium","Low"))))</f>
        <v/>
      </c>
      <c r="E49" s="33"/>
      <c r="F49" s="33"/>
      <c r="G49" s="33"/>
      <c r="H49" s="35"/>
    </row>
    <row r="50" customFormat="false" ht="15" hidden="false" customHeight="false" outlineLevel="0" collapsed="false">
      <c r="A50" s="30"/>
      <c r="B50" s="30"/>
      <c r="C50" s="31"/>
      <c r="D50" s="28" t="str">
        <f aca="false">IF(C50="","",IF(C50&gt;=16,"Critical",IF(C50&gt;=10,"High",IF(C50&gt;=5,"Medium","Low"))))</f>
        <v/>
      </c>
      <c r="E50" s="30"/>
      <c r="F50" s="30"/>
      <c r="G50" s="30"/>
      <c r="H50" s="32"/>
    </row>
    <row r="51" customFormat="false" ht="15" hidden="false" customHeight="false" outlineLevel="0" collapsed="false">
      <c r="A51" s="33"/>
      <c r="B51" s="33"/>
      <c r="C51" s="34"/>
      <c r="D51" s="28" t="str">
        <f aca="false">IF(C51="","",IF(C51&gt;=16,"Critical",IF(C51&gt;=10,"High",IF(C51&gt;=5,"Medium","Low"))))</f>
        <v/>
      </c>
      <c r="E51" s="33"/>
      <c r="F51" s="33"/>
      <c r="G51" s="33"/>
      <c r="H51" s="35"/>
    </row>
    <row r="52" customFormat="false" ht="15" hidden="false" customHeight="false" outlineLevel="0" collapsed="false">
      <c r="A52" s="30"/>
      <c r="B52" s="30"/>
      <c r="C52" s="31"/>
      <c r="D52" s="28" t="str">
        <f aca="false">IF(C52="","",IF(C52&gt;=16,"Critical",IF(C52&gt;=10,"High",IF(C52&gt;=5,"Medium","Low"))))</f>
        <v/>
      </c>
      <c r="E52" s="30"/>
      <c r="F52" s="30"/>
      <c r="G52" s="30"/>
      <c r="H52" s="32"/>
    </row>
    <row r="53" customFormat="false" ht="15" hidden="false" customHeight="false" outlineLevel="0" collapsed="false">
      <c r="A53" s="33"/>
      <c r="B53" s="33"/>
      <c r="C53" s="34"/>
      <c r="D53" s="28" t="str">
        <f aca="false">IF(C53="","",IF(C53&gt;=16,"Critical",IF(C53&gt;=10,"High",IF(C53&gt;=5,"Medium","Low"))))</f>
        <v/>
      </c>
      <c r="E53" s="33"/>
      <c r="F53" s="33"/>
      <c r="G53" s="33"/>
      <c r="H53" s="35"/>
    </row>
    <row r="54" customFormat="false" ht="15" hidden="false" customHeight="false" outlineLevel="0" collapsed="false">
      <c r="A54" s="30"/>
      <c r="B54" s="30"/>
      <c r="C54" s="31"/>
      <c r="D54" s="28" t="str">
        <f aca="false">IF(C54="","",IF(C54&gt;=16,"Critical",IF(C54&gt;=10,"High",IF(C54&gt;=5,"Medium","Low"))))</f>
        <v/>
      </c>
      <c r="E54" s="30"/>
      <c r="F54" s="30"/>
      <c r="G54" s="30"/>
      <c r="H54" s="32"/>
    </row>
  </sheetData>
  <autoFilter ref="A4:H54"/>
  <mergeCells count="2">
    <mergeCell ref="A1:H1"/>
    <mergeCell ref="A2:H2"/>
  </mergeCells>
  <conditionalFormatting sqref="D5:D54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G5:G54">
    <cfRule type="cellIs" priority="6" operator="equal" aboveAverage="0" equalAverage="0" bottom="0" percent="0" rank="0" text="" dxfId="15">
      <formula>"Closed"</formula>
    </cfRule>
    <cfRule type="cellIs" priority="7" operator="equal" aboveAverage="0" equalAverage="0" bottom="0" percent="0" rank="0" text="" dxfId="16">
      <formula>"Open"</formula>
    </cfRule>
    <cfRule type="cellIs" priority="8" operator="equal" aboveAverage="0" equalAverage="0" bottom="0" percent="0" rank="0" text="" dxfId="13">
      <formula>"On hold"</formula>
    </cfRule>
  </conditionalFormatting>
  <dataValidations count="2">
    <dataValidation allowBlank="true" error="Please select a value from the list (toolkit controlled vocabulary)." errorStyle="stop" errorTitle="Invalid entry" operator="between" showDropDown="false" showErrorMessage="true" showInputMessage="false" sqref="C5:C54" type="list">
      <formula1>Lists!$A$2:$A$15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G5:G54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A100"/>
    <pageSetUpPr fitToPage="tru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5.5" hidden="false" customHeight="true" outlineLevel="0" collapsed="false">
      <c r="A1" s="16" t="s">
        <v>96</v>
      </c>
      <c r="B1" s="16"/>
      <c r="C1" s="16"/>
      <c r="D1" s="16"/>
      <c r="E1" s="16"/>
      <c r="F1" s="16"/>
      <c r="G1" s="16"/>
      <c r="H1" s="16"/>
      <c r="I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</row>
    <row r="3" customFormat="false" ht="6" hidden="false" customHeight="true" outlineLevel="0" collapsed="false"/>
    <row r="4" customFormat="false" ht="33.75" hidden="false" customHeight="true" outlineLevel="0" collapsed="false">
      <c r="A4" s="24" t="s">
        <v>97</v>
      </c>
      <c r="B4" s="24" t="s">
        <v>98</v>
      </c>
      <c r="C4" s="24" t="s">
        <v>99</v>
      </c>
      <c r="D4" s="24" t="s">
        <v>100</v>
      </c>
      <c r="E4" s="24" t="s">
        <v>101</v>
      </c>
      <c r="F4" s="24" t="s">
        <v>89</v>
      </c>
      <c r="G4" s="24" t="s">
        <v>102</v>
      </c>
      <c r="H4" s="24" t="s">
        <v>103</v>
      </c>
      <c r="I4" s="24" t="s">
        <v>22</v>
      </c>
    </row>
    <row r="5" customFormat="false" ht="23.85" hidden="false" customHeight="false" outlineLevel="0" collapsed="false">
      <c r="A5" s="26" t="s">
        <v>104</v>
      </c>
      <c r="B5" s="26" t="s">
        <v>105</v>
      </c>
      <c r="C5" s="26" t="s">
        <v>106</v>
      </c>
      <c r="D5" s="26" t="s">
        <v>107</v>
      </c>
      <c r="E5" s="26" t="s">
        <v>108</v>
      </c>
      <c r="F5" s="26" t="s">
        <v>109</v>
      </c>
      <c r="G5" s="29" t="n">
        <v>46346</v>
      </c>
      <c r="H5" s="26" t="s">
        <v>110</v>
      </c>
      <c r="I5" s="26" t="s">
        <v>67</v>
      </c>
    </row>
    <row r="6" customFormat="false" ht="15" hidden="false" customHeight="false" outlineLevel="0" collapsed="false">
      <c r="A6" s="30"/>
      <c r="B6" s="30"/>
      <c r="C6" s="30"/>
      <c r="D6" s="30"/>
      <c r="E6" s="30"/>
      <c r="F6" s="30"/>
      <c r="G6" s="32"/>
      <c r="H6" s="30"/>
      <c r="I6" s="30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5"/>
      <c r="H7" s="33"/>
      <c r="I7" s="33"/>
    </row>
    <row r="8" customFormat="false" ht="15" hidden="false" customHeight="false" outlineLevel="0" collapsed="false">
      <c r="A8" s="30"/>
      <c r="B8" s="30"/>
      <c r="C8" s="30"/>
      <c r="D8" s="30"/>
      <c r="E8" s="30"/>
      <c r="F8" s="30"/>
      <c r="G8" s="32"/>
      <c r="H8" s="30"/>
      <c r="I8" s="30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5"/>
      <c r="H9" s="33"/>
      <c r="I9" s="33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  <c r="G10" s="32"/>
      <c r="H10" s="30"/>
      <c r="I10" s="30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5"/>
      <c r="H11" s="33"/>
      <c r="I11" s="33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  <c r="G12" s="32"/>
      <c r="H12" s="30"/>
      <c r="I12" s="30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5"/>
      <c r="H13" s="33"/>
      <c r="I13" s="33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  <c r="G14" s="32"/>
      <c r="H14" s="30"/>
      <c r="I14" s="30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5"/>
      <c r="H15" s="33"/>
      <c r="I15" s="33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2"/>
      <c r="H16" s="30"/>
      <c r="I16" s="30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5"/>
      <c r="H17" s="33"/>
      <c r="I17" s="33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  <c r="G18" s="32"/>
      <c r="H18" s="30"/>
      <c r="I18" s="30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5"/>
      <c r="H19" s="33"/>
      <c r="I19" s="33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  <c r="G20" s="32"/>
      <c r="H20" s="30"/>
      <c r="I20" s="30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5"/>
      <c r="H21" s="33"/>
      <c r="I21" s="33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  <c r="G22" s="32"/>
      <c r="H22" s="30"/>
      <c r="I22" s="30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5"/>
      <c r="H23" s="33"/>
      <c r="I23" s="33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2"/>
      <c r="H24" s="30"/>
      <c r="I24" s="30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5"/>
      <c r="H25" s="33"/>
      <c r="I25" s="33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  <c r="G26" s="32"/>
      <c r="H26" s="30"/>
      <c r="I26" s="30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5"/>
      <c r="H27" s="33"/>
      <c r="I27" s="33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  <c r="G28" s="32"/>
      <c r="H28" s="30"/>
      <c r="I28" s="30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5"/>
      <c r="H29" s="33"/>
      <c r="I29" s="33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  <c r="G30" s="32"/>
      <c r="H30" s="30"/>
      <c r="I30" s="30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5"/>
      <c r="H31" s="33"/>
      <c r="I31" s="33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2"/>
      <c r="H32" s="30"/>
      <c r="I32" s="30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5"/>
      <c r="H33" s="33"/>
      <c r="I33" s="33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2"/>
      <c r="H34" s="30"/>
      <c r="I34" s="30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5"/>
      <c r="H35" s="33"/>
      <c r="I35" s="33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  <c r="G36" s="32"/>
      <c r="H36" s="30"/>
      <c r="I36" s="30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5"/>
      <c r="H37" s="33"/>
      <c r="I37" s="33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  <c r="G38" s="32"/>
      <c r="H38" s="30"/>
      <c r="I38" s="30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5"/>
      <c r="H39" s="33"/>
      <c r="I39" s="33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2"/>
      <c r="H40" s="30"/>
      <c r="I40" s="30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5"/>
      <c r="H41" s="33"/>
      <c r="I41" s="33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  <c r="G42" s="32"/>
      <c r="H42" s="30"/>
      <c r="I42" s="30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5"/>
      <c r="H43" s="33"/>
      <c r="I43" s="33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  <c r="G44" s="32"/>
      <c r="H44" s="30"/>
      <c r="I44" s="30"/>
    </row>
    <row r="45" customFormat="false" ht="15" hidden="false" customHeight="false" outlineLevel="0" collapsed="false">
      <c r="A45" s="33"/>
      <c r="B45" s="33"/>
      <c r="C45" s="33"/>
      <c r="D45" s="33"/>
      <c r="E45" s="33"/>
      <c r="F45" s="33"/>
      <c r="G45" s="35"/>
      <c r="H45" s="33"/>
      <c r="I45" s="33"/>
    </row>
    <row r="46" customFormat="false" ht="15" hidden="false" customHeight="false" outlineLevel="0" collapsed="false">
      <c r="A46" s="30"/>
      <c r="B46" s="30"/>
      <c r="C46" s="30"/>
      <c r="D46" s="30"/>
      <c r="E46" s="30"/>
      <c r="F46" s="30"/>
      <c r="G46" s="32"/>
      <c r="H46" s="30"/>
      <c r="I46" s="30"/>
    </row>
    <row r="47" customFormat="false" ht="15" hidden="false" customHeight="false" outlineLevel="0" collapsed="false">
      <c r="A47" s="33"/>
      <c r="B47" s="33"/>
      <c r="C47" s="33"/>
      <c r="D47" s="33"/>
      <c r="E47" s="33"/>
      <c r="F47" s="33"/>
      <c r="G47" s="35"/>
      <c r="H47" s="33"/>
      <c r="I47" s="33"/>
    </row>
    <row r="48" customFormat="false" ht="15" hidden="false" customHeight="false" outlineLevel="0" collapsed="false">
      <c r="A48" s="30"/>
      <c r="B48" s="30"/>
      <c r="C48" s="30"/>
      <c r="D48" s="30"/>
      <c r="E48" s="30"/>
      <c r="F48" s="30"/>
      <c r="G48" s="32"/>
      <c r="H48" s="30"/>
      <c r="I48" s="30"/>
    </row>
    <row r="49" customFormat="false" ht="15" hidden="false" customHeight="false" outlineLevel="0" collapsed="false">
      <c r="A49" s="33"/>
      <c r="B49" s="33"/>
      <c r="C49" s="33"/>
      <c r="D49" s="33"/>
      <c r="E49" s="33"/>
      <c r="F49" s="33"/>
      <c r="G49" s="35"/>
      <c r="H49" s="33"/>
      <c r="I49" s="33"/>
    </row>
    <row r="50" customFormat="false" ht="15" hidden="false" customHeight="false" outlineLevel="0" collapsed="false">
      <c r="A50" s="30"/>
      <c r="B50" s="30"/>
      <c r="C50" s="30"/>
      <c r="D50" s="30"/>
      <c r="E50" s="30"/>
      <c r="F50" s="30"/>
      <c r="G50" s="32"/>
      <c r="H50" s="30"/>
      <c r="I50" s="30"/>
    </row>
    <row r="51" customFormat="false" ht="15" hidden="false" customHeight="false" outlineLevel="0" collapsed="false">
      <c r="A51" s="33"/>
      <c r="B51" s="33"/>
      <c r="C51" s="33"/>
      <c r="D51" s="33"/>
      <c r="E51" s="33"/>
      <c r="F51" s="33"/>
      <c r="G51" s="35"/>
      <c r="H51" s="33"/>
      <c r="I51" s="33"/>
    </row>
    <row r="52" customFormat="false" ht="15" hidden="false" customHeight="false" outlineLevel="0" collapsed="false">
      <c r="A52" s="30"/>
      <c r="B52" s="30"/>
      <c r="C52" s="30"/>
      <c r="D52" s="30"/>
      <c r="E52" s="30"/>
      <c r="F52" s="30"/>
      <c r="G52" s="32"/>
      <c r="H52" s="30"/>
      <c r="I52" s="30"/>
    </row>
    <row r="53" customFormat="false" ht="15" hidden="false" customHeight="false" outlineLevel="0" collapsed="false">
      <c r="A53" s="33"/>
      <c r="B53" s="33"/>
      <c r="C53" s="33"/>
      <c r="D53" s="33"/>
      <c r="E53" s="33"/>
      <c r="F53" s="33"/>
      <c r="G53" s="35"/>
      <c r="H53" s="33"/>
      <c r="I53" s="33"/>
    </row>
    <row r="54" customFormat="false" ht="15" hidden="false" customHeight="false" outlineLevel="0" collapsed="false">
      <c r="A54" s="30"/>
      <c r="B54" s="30"/>
      <c r="C54" s="30"/>
      <c r="D54" s="30"/>
      <c r="E54" s="30"/>
      <c r="F54" s="30"/>
      <c r="G54" s="32"/>
      <c r="H54" s="30"/>
      <c r="I54" s="30"/>
    </row>
  </sheetData>
  <autoFilter ref="A4:I54"/>
  <mergeCells count="2">
    <mergeCell ref="A1:I1"/>
    <mergeCell ref="A2:I2"/>
  </mergeCells>
  <conditionalFormatting sqref="I5:I54">
    <cfRule type="cellIs" priority="2" operator="equal" aboveAverage="0" equalAverage="0" bottom="0" percent="0" rank="0" text="" dxfId="15">
      <formula>"Closed"</formula>
    </cfRule>
    <cfRule type="cellIs" priority="3" operator="equal" aboveAverage="0" equalAverage="0" bottom="0" percent="0" rank="0" text="" dxfId="16">
      <formula>"Open"</formula>
    </cfRule>
    <cfRule type="cellIs" priority="4" operator="equal" aboveAverage="0" equalAverage="0" bottom="0" percent="0" rank="0" text="" dxfId="13">
      <formula>"On hold"</formula>
    </cfRule>
  </conditionalFormatting>
  <dataValidations count="3">
    <dataValidation allowBlank="true" error="Please select a value from the list (toolkit controlled vocabulary)." errorStyle="stop" errorTitle="Invalid entry" operator="between" showDropDown="false" showErrorMessage="true" showInputMessage="false" sqref="C5:C54" type="list">
      <formula1>Lists!$C$2:$C$7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H5:H54" type="list">
      <formula1>Lists!$D$2:$D$4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I5:I54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8"/>
    <col collapsed="false" customWidth="true" hidden="false" outlineLevel="0" max="8" min="7" style="0" width="13"/>
    <col collapsed="false" customWidth="true" hidden="false" outlineLevel="0" max="9" min="9" style="0" width="3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8"/>
    <col collapsed="false" customWidth="true" hidden="false" outlineLevel="0" max="16" min="16" style="0" width="12"/>
  </cols>
  <sheetData>
    <row r="1" customFormat="false" ht="25.5" hidden="false" customHeight="true" outlineLevel="0" collapsed="false">
      <c r="A1" s="16" t="s">
        <v>111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customFormat="false" ht="6" hidden="false" customHeight="true" outlineLevel="0" collapsed="false"/>
    <row r="4" customFormat="false" ht="33.75" hidden="false" customHeight="true" outlineLevel="0" collapsed="false">
      <c r="A4" s="24" t="s">
        <v>112</v>
      </c>
      <c r="B4" s="24" t="s">
        <v>113</v>
      </c>
      <c r="C4" s="24" t="s">
        <v>114</v>
      </c>
      <c r="D4" s="24" t="s">
        <v>99</v>
      </c>
      <c r="E4" s="24" t="s">
        <v>115</v>
      </c>
      <c r="F4" s="24" t="s">
        <v>116</v>
      </c>
      <c r="G4" s="24" t="s">
        <v>117</v>
      </c>
      <c r="H4" s="24" t="s">
        <v>89</v>
      </c>
      <c r="I4" s="24" t="s">
        <v>118</v>
      </c>
      <c r="J4" s="24" t="s">
        <v>119</v>
      </c>
      <c r="K4" s="24" t="s">
        <v>120</v>
      </c>
      <c r="L4" s="24" t="s">
        <v>22</v>
      </c>
      <c r="M4" s="24" t="s">
        <v>121</v>
      </c>
      <c r="N4" s="25" t="s">
        <v>122</v>
      </c>
      <c r="O4" s="25" t="s">
        <v>123</v>
      </c>
      <c r="P4" s="24" t="s">
        <v>124</v>
      </c>
    </row>
    <row r="5" customFormat="false" ht="23.85" hidden="false" customHeight="false" outlineLevel="0" collapsed="false">
      <c r="A5" s="26" t="s">
        <v>125</v>
      </c>
      <c r="B5" s="29" t="n">
        <v>46315</v>
      </c>
      <c r="C5" s="26" t="s">
        <v>126</v>
      </c>
      <c r="D5" s="26" t="s">
        <v>127</v>
      </c>
      <c r="E5" s="26" t="s">
        <v>78</v>
      </c>
      <c r="F5" s="26" t="s">
        <v>128</v>
      </c>
      <c r="G5" s="26" t="s">
        <v>129</v>
      </c>
      <c r="H5" s="26" t="s">
        <v>130</v>
      </c>
      <c r="I5" s="26" t="s">
        <v>131</v>
      </c>
      <c r="J5" s="29" t="n">
        <v>46343</v>
      </c>
      <c r="K5" s="26" t="s">
        <v>132</v>
      </c>
      <c r="L5" s="26" t="s">
        <v>67</v>
      </c>
      <c r="M5" s="29"/>
      <c r="N5" s="36" t="n">
        <f aca="true">IF(B5="","",IF(M5&lt;&gt;"",M5-B5,TODAY()-B5))</f>
        <v>7</v>
      </c>
      <c r="O5" s="28" t="str">
        <f aca="true">IF(OR(J5="",L5="Closed"),"",IF(TODAY()&gt;J5,"Yes",""))</f>
        <v/>
      </c>
      <c r="P5" s="26" t="s">
        <v>133</v>
      </c>
    </row>
    <row r="6" customFormat="false" ht="15" hidden="false" customHeight="false" outlineLevel="0" collapsed="false">
      <c r="A6" s="30"/>
      <c r="B6" s="32"/>
      <c r="C6" s="30"/>
      <c r="D6" s="30"/>
      <c r="E6" s="30"/>
      <c r="F6" s="30"/>
      <c r="G6" s="30"/>
      <c r="H6" s="30"/>
      <c r="I6" s="30"/>
      <c r="J6" s="32"/>
      <c r="K6" s="30"/>
      <c r="L6" s="30"/>
      <c r="M6" s="32"/>
      <c r="N6" s="36" t="str">
        <f aca="true">IF(B6="","",IF(M6&lt;&gt;"",M6-B6,TODAY()-B6))</f>
        <v/>
      </c>
      <c r="O6" s="28" t="str">
        <f aca="true">IF(OR(J6="",L6="Closed"),"",IF(TODAY()&gt;J6,"Yes",""))</f>
        <v/>
      </c>
      <c r="P6" s="30"/>
    </row>
    <row r="7" customFormat="false" ht="15" hidden="false" customHeight="false" outlineLevel="0" collapsed="false">
      <c r="A7" s="33"/>
      <c r="B7" s="35"/>
      <c r="C7" s="33"/>
      <c r="D7" s="33"/>
      <c r="E7" s="33"/>
      <c r="F7" s="33"/>
      <c r="G7" s="33"/>
      <c r="H7" s="33"/>
      <c r="I7" s="33"/>
      <c r="J7" s="35"/>
      <c r="K7" s="33"/>
      <c r="L7" s="33"/>
      <c r="M7" s="35"/>
      <c r="N7" s="36" t="str">
        <f aca="true">IF(B7="","",IF(M7&lt;&gt;"",M7-B7,TODAY()-B7))</f>
        <v/>
      </c>
      <c r="O7" s="28" t="str">
        <f aca="true">IF(OR(J7="",L7="Closed"),"",IF(TODAY()&gt;J7,"Yes",""))</f>
        <v/>
      </c>
      <c r="P7" s="33"/>
    </row>
    <row r="8" customFormat="false" ht="15" hidden="false" customHeight="false" outlineLevel="0" collapsed="false">
      <c r="A8" s="30"/>
      <c r="B8" s="32"/>
      <c r="C8" s="30"/>
      <c r="D8" s="30"/>
      <c r="E8" s="30"/>
      <c r="F8" s="30"/>
      <c r="G8" s="30"/>
      <c r="H8" s="30"/>
      <c r="I8" s="30"/>
      <c r="J8" s="32"/>
      <c r="K8" s="30"/>
      <c r="L8" s="30"/>
      <c r="M8" s="32"/>
      <c r="N8" s="36" t="str">
        <f aca="true">IF(B8="","",IF(M8&lt;&gt;"",M8-B8,TODAY()-B8))</f>
        <v/>
      </c>
      <c r="O8" s="28" t="str">
        <f aca="true">IF(OR(J8="",L8="Closed"),"",IF(TODAY()&gt;J8,"Yes",""))</f>
        <v/>
      </c>
      <c r="P8" s="30"/>
    </row>
    <row r="9" customFormat="false" ht="15" hidden="false" customHeight="false" outlineLevel="0" collapsed="false">
      <c r="A9" s="33"/>
      <c r="B9" s="35"/>
      <c r="C9" s="33"/>
      <c r="D9" s="33"/>
      <c r="E9" s="33"/>
      <c r="F9" s="33"/>
      <c r="G9" s="33"/>
      <c r="H9" s="33"/>
      <c r="I9" s="33"/>
      <c r="J9" s="35"/>
      <c r="K9" s="33"/>
      <c r="L9" s="33"/>
      <c r="M9" s="35"/>
      <c r="N9" s="36" t="str">
        <f aca="true">IF(B9="","",IF(M9&lt;&gt;"",M9-B9,TODAY()-B9))</f>
        <v/>
      </c>
      <c r="O9" s="28" t="str">
        <f aca="true">IF(OR(J9="",L9="Closed"),"",IF(TODAY()&gt;J9,"Yes",""))</f>
        <v/>
      </c>
      <c r="P9" s="33"/>
    </row>
    <row r="10" customFormat="false" ht="15" hidden="false" customHeight="false" outlineLevel="0" collapsed="false">
      <c r="A10" s="30"/>
      <c r="B10" s="32"/>
      <c r="C10" s="30"/>
      <c r="D10" s="30"/>
      <c r="E10" s="30"/>
      <c r="F10" s="30"/>
      <c r="G10" s="30"/>
      <c r="H10" s="30"/>
      <c r="I10" s="30"/>
      <c r="J10" s="32"/>
      <c r="K10" s="30"/>
      <c r="L10" s="30"/>
      <c r="M10" s="32"/>
      <c r="N10" s="36" t="str">
        <f aca="true">IF(B10="","",IF(M10&lt;&gt;"",M10-B10,TODAY()-B10))</f>
        <v/>
      </c>
      <c r="O10" s="28" t="str">
        <f aca="true">IF(OR(J10="",L10="Closed"),"",IF(TODAY()&gt;J10,"Yes",""))</f>
        <v/>
      </c>
      <c r="P10" s="30"/>
    </row>
    <row r="11" customFormat="false" ht="15" hidden="false" customHeight="false" outlineLevel="0" collapsed="false">
      <c r="A11" s="33"/>
      <c r="B11" s="35"/>
      <c r="C11" s="33"/>
      <c r="D11" s="33"/>
      <c r="E11" s="33"/>
      <c r="F11" s="33"/>
      <c r="G11" s="33"/>
      <c r="H11" s="33"/>
      <c r="I11" s="33"/>
      <c r="J11" s="35"/>
      <c r="K11" s="33"/>
      <c r="L11" s="33"/>
      <c r="M11" s="35"/>
      <c r="N11" s="36" t="str">
        <f aca="true">IF(B11="","",IF(M11&lt;&gt;"",M11-B11,TODAY()-B11))</f>
        <v/>
      </c>
      <c r="O11" s="28" t="str">
        <f aca="true">IF(OR(J11="",L11="Closed"),"",IF(TODAY()&gt;J11,"Yes",""))</f>
        <v/>
      </c>
      <c r="P11" s="33"/>
    </row>
    <row r="12" customFormat="false" ht="15" hidden="false" customHeight="false" outlineLevel="0" collapsed="false">
      <c r="A12" s="30"/>
      <c r="B12" s="32"/>
      <c r="C12" s="30"/>
      <c r="D12" s="30"/>
      <c r="E12" s="30"/>
      <c r="F12" s="30"/>
      <c r="G12" s="30"/>
      <c r="H12" s="30"/>
      <c r="I12" s="30"/>
      <c r="J12" s="32"/>
      <c r="K12" s="30"/>
      <c r="L12" s="30"/>
      <c r="M12" s="32"/>
      <c r="N12" s="36" t="str">
        <f aca="true">IF(B12="","",IF(M12&lt;&gt;"",M12-B12,TODAY()-B12))</f>
        <v/>
      </c>
      <c r="O12" s="28" t="str">
        <f aca="true">IF(OR(J12="",L12="Closed"),"",IF(TODAY()&gt;J12,"Yes",""))</f>
        <v/>
      </c>
      <c r="P12" s="30"/>
    </row>
    <row r="13" customFormat="false" ht="15" hidden="false" customHeight="false" outlineLevel="0" collapsed="false">
      <c r="A13" s="33"/>
      <c r="B13" s="35"/>
      <c r="C13" s="33"/>
      <c r="D13" s="33"/>
      <c r="E13" s="33"/>
      <c r="F13" s="33"/>
      <c r="G13" s="33"/>
      <c r="H13" s="33"/>
      <c r="I13" s="33"/>
      <c r="J13" s="35"/>
      <c r="K13" s="33"/>
      <c r="L13" s="33"/>
      <c r="M13" s="35"/>
      <c r="N13" s="36" t="str">
        <f aca="true">IF(B13="","",IF(M13&lt;&gt;"",M13-B13,TODAY()-B13))</f>
        <v/>
      </c>
      <c r="O13" s="28" t="str">
        <f aca="true">IF(OR(J13="",L13="Closed"),"",IF(TODAY()&gt;J13,"Yes",""))</f>
        <v/>
      </c>
      <c r="P13" s="33"/>
    </row>
    <row r="14" customFormat="false" ht="15" hidden="false" customHeight="false" outlineLevel="0" collapsed="false">
      <c r="A14" s="30"/>
      <c r="B14" s="32"/>
      <c r="C14" s="30"/>
      <c r="D14" s="30"/>
      <c r="E14" s="30"/>
      <c r="F14" s="30"/>
      <c r="G14" s="30"/>
      <c r="H14" s="30"/>
      <c r="I14" s="30"/>
      <c r="J14" s="32"/>
      <c r="K14" s="30"/>
      <c r="L14" s="30"/>
      <c r="M14" s="32"/>
      <c r="N14" s="36" t="str">
        <f aca="true">IF(B14="","",IF(M14&lt;&gt;"",M14-B14,TODAY()-B14))</f>
        <v/>
      </c>
      <c r="O14" s="28" t="str">
        <f aca="true">IF(OR(J14="",L14="Closed"),"",IF(TODAY()&gt;J14,"Yes",""))</f>
        <v/>
      </c>
      <c r="P14" s="30"/>
    </row>
    <row r="15" customFormat="false" ht="15" hidden="false" customHeight="false" outlineLevel="0" collapsed="false">
      <c r="A15" s="33"/>
      <c r="B15" s="35"/>
      <c r="C15" s="33"/>
      <c r="D15" s="33"/>
      <c r="E15" s="33"/>
      <c r="F15" s="33"/>
      <c r="G15" s="33"/>
      <c r="H15" s="33"/>
      <c r="I15" s="33"/>
      <c r="J15" s="35"/>
      <c r="K15" s="33"/>
      <c r="L15" s="33"/>
      <c r="M15" s="35"/>
      <c r="N15" s="36" t="str">
        <f aca="true">IF(B15="","",IF(M15&lt;&gt;"",M15-B15,TODAY()-B15))</f>
        <v/>
      </c>
      <c r="O15" s="28" t="str">
        <f aca="true">IF(OR(J15="",L15="Closed"),"",IF(TODAY()&gt;J15,"Yes",""))</f>
        <v/>
      </c>
      <c r="P15" s="33"/>
    </row>
    <row r="16" customFormat="false" ht="15" hidden="false" customHeight="false" outlineLevel="0" collapsed="false">
      <c r="A16" s="30"/>
      <c r="B16" s="32"/>
      <c r="C16" s="30"/>
      <c r="D16" s="30"/>
      <c r="E16" s="30"/>
      <c r="F16" s="30"/>
      <c r="G16" s="30"/>
      <c r="H16" s="30"/>
      <c r="I16" s="30"/>
      <c r="J16" s="32"/>
      <c r="K16" s="30"/>
      <c r="L16" s="30"/>
      <c r="M16" s="32"/>
      <c r="N16" s="36" t="str">
        <f aca="true">IF(B16="","",IF(M16&lt;&gt;"",M16-B16,TODAY()-B16))</f>
        <v/>
      </c>
      <c r="O16" s="28" t="str">
        <f aca="true">IF(OR(J16="",L16="Closed"),"",IF(TODAY()&gt;J16,"Yes",""))</f>
        <v/>
      </c>
      <c r="P16" s="30"/>
    </row>
    <row r="17" customFormat="false" ht="15" hidden="false" customHeight="false" outlineLevel="0" collapsed="false">
      <c r="A17" s="33"/>
      <c r="B17" s="35"/>
      <c r="C17" s="33"/>
      <c r="D17" s="33"/>
      <c r="E17" s="33"/>
      <c r="F17" s="33"/>
      <c r="G17" s="33"/>
      <c r="H17" s="33"/>
      <c r="I17" s="33"/>
      <c r="J17" s="35"/>
      <c r="K17" s="33"/>
      <c r="L17" s="33"/>
      <c r="M17" s="35"/>
      <c r="N17" s="36" t="str">
        <f aca="true">IF(B17="","",IF(M17&lt;&gt;"",M17-B17,TODAY()-B17))</f>
        <v/>
      </c>
      <c r="O17" s="28" t="str">
        <f aca="true">IF(OR(J17="",L17="Closed"),"",IF(TODAY()&gt;J17,"Yes",""))</f>
        <v/>
      </c>
      <c r="P17" s="33"/>
    </row>
    <row r="18" customFormat="false" ht="15" hidden="false" customHeight="false" outlineLevel="0" collapsed="false">
      <c r="A18" s="30"/>
      <c r="B18" s="32"/>
      <c r="C18" s="30"/>
      <c r="D18" s="30"/>
      <c r="E18" s="30"/>
      <c r="F18" s="30"/>
      <c r="G18" s="30"/>
      <c r="H18" s="30"/>
      <c r="I18" s="30"/>
      <c r="J18" s="32"/>
      <c r="K18" s="30"/>
      <c r="L18" s="30"/>
      <c r="M18" s="32"/>
      <c r="N18" s="36" t="str">
        <f aca="true">IF(B18="","",IF(M18&lt;&gt;"",M18-B18,TODAY()-B18))</f>
        <v/>
      </c>
      <c r="O18" s="28" t="str">
        <f aca="true">IF(OR(J18="",L18="Closed"),"",IF(TODAY()&gt;J18,"Yes",""))</f>
        <v/>
      </c>
      <c r="P18" s="30"/>
    </row>
    <row r="19" customFormat="false" ht="15" hidden="false" customHeight="false" outlineLevel="0" collapsed="false">
      <c r="A19" s="33"/>
      <c r="B19" s="35"/>
      <c r="C19" s="33"/>
      <c r="D19" s="33"/>
      <c r="E19" s="33"/>
      <c r="F19" s="33"/>
      <c r="G19" s="33"/>
      <c r="H19" s="33"/>
      <c r="I19" s="33"/>
      <c r="J19" s="35"/>
      <c r="K19" s="33"/>
      <c r="L19" s="33"/>
      <c r="M19" s="35"/>
      <c r="N19" s="36" t="str">
        <f aca="true">IF(B19="","",IF(M19&lt;&gt;"",M19-B19,TODAY()-B19))</f>
        <v/>
      </c>
      <c r="O19" s="28" t="str">
        <f aca="true">IF(OR(J19="",L19="Closed"),"",IF(TODAY()&gt;J19,"Yes",""))</f>
        <v/>
      </c>
      <c r="P19" s="33"/>
    </row>
    <row r="20" customFormat="false" ht="15" hidden="false" customHeight="false" outlineLevel="0" collapsed="false">
      <c r="A20" s="30"/>
      <c r="B20" s="32"/>
      <c r="C20" s="30"/>
      <c r="D20" s="30"/>
      <c r="E20" s="30"/>
      <c r="F20" s="30"/>
      <c r="G20" s="30"/>
      <c r="H20" s="30"/>
      <c r="I20" s="30"/>
      <c r="J20" s="32"/>
      <c r="K20" s="30"/>
      <c r="L20" s="30"/>
      <c r="M20" s="32"/>
      <c r="N20" s="36" t="str">
        <f aca="true">IF(B20="","",IF(M20&lt;&gt;"",M20-B20,TODAY()-B20))</f>
        <v/>
      </c>
      <c r="O20" s="28" t="str">
        <f aca="true">IF(OR(J20="",L20="Closed"),"",IF(TODAY()&gt;J20,"Yes",""))</f>
        <v/>
      </c>
      <c r="P20" s="30"/>
    </row>
    <row r="21" customFormat="false" ht="15" hidden="false" customHeight="false" outlineLevel="0" collapsed="false">
      <c r="A21" s="33"/>
      <c r="B21" s="35"/>
      <c r="C21" s="33"/>
      <c r="D21" s="33"/>
      <c r="E21" s="33"/>
      <c r="F21" s="33"/>
      <c r="G21" s="33"/>
      <c r="H21" s="33"/>
      <c r="I21" s="33"/>
      <c r="J21" s="35"/>
      <c r="K21" s="33"/>
      <c r="L21" s="33"/>
      <c r="M21" s="35"/>
      <c r="N21" s="36" t="str">
        <f aca="true">IF(B21="","",IF(M21&lt;&gt;"",M21-B21,TODAY()-B21))</f>
        <v/>
      </c>
      <c r="O21" s="28" t="str">
        <f aca="true">IF(OR(J21="",L21="Closed"),"",IF(TODAY()&gt;J21,"Yes",""))</f>
        <v/>
      </c>
      <c r="P21" s="33"/>
    </row>
    <row r="22" customFormat="false" ht="15" hidden="false" customHeight="false" outlineLevel="0" collapsed="false">
      <c r="A22" s="30"/>
      <c r="B22" s="32"/>
      <c r="C22" s="30"/>
      <c r="D22" s="30"/>
      <c r="E22" s="30"/>
      <c r="F22" s="30"/>
      <c r="G22" s="30"/>
      <c r="H22" s="30"/>
      <c r="I22" s="30"/>
      <c r="J22" s="32"/>
      <c r="K22" s="30"/>
      <c r="L22" s="30"/>
      <c r="M22" s="32"/>
      <c r="N22" s="36" t="str">
        <f aca="true">IF(B22="","",IF(M22&lt;&gt;"",M22-B22,TODAY()-B22))</f>
        <v/>
      </c>
      <c r="O22" s="28" t="str">
        <f aca="true">IF(OR(J22="",L22="Closed"),"",IF(TODAY()&gt;J22,"Yes",""))</f>
        <v/>
      </c>
      <c r="P22" s="30"/>
    </row>
    <row r="23" customFormat="false" ht="15" hidden="false" customHeight="false" outlineLevel="0" collapsed="false">
      <c r="A23" s="33"/>
      <c r="B23" s="35"/>
      <c r="C23" s="33"/>
      <c r="D23" s="33"/>
      <c r="E23" s="33"/>
      <c r="F23" s="33"/>
      <c r="G23" s="33"/>
      <c r="H23" s="33"/>
      <c r="I23" s="33"/>
      <c r="J23" s="35"/>
      <c r="K23" s="33"/>
      <c r="L23" s="33"/>
      <c r="M23" s="35"/>
      <c r="N23" s="36" t="str">
        <f aca="true">IF(B23="","",IF(M23&lt;&gt;"",M23-B23,TODAY()-B23))</f>
        <v/>
      </c>
      <c r="O23" s="28" t="str">
        <f aca="true">IF(OR(J23="",L23="Closed"),"",IF(TODAY()&gt;J23,"Yes",""))</f>
        <v/>
      </c>
      <c r="P23" s="33"/>
    </row>
    <row r="24" customFormat="false" ht="15" hidden="false" customHeight="false" outlineLevel="0" collapsed="false">
      <c r="A24" s="30"/>
      <c r="B24" s="32"/>
      <c r="C24" s="30"/>
      <c r="D24" s="30"/>
      <c r="E24" s="30"/>
      <c r="F24" s="30"/>
      <c r="G24" s="30"/>
      <c r="H24" s="30"/>
      <c r="I24" s="30"/>
      <c r="J24" s="32"/>
      <c r="K24" s="30"/>
      <c r="L24" s="30"/>
      <c r="M24" s="32"/>
      <c r="N24" s="36" t="str">
        <f aca="true">IF(B24="","",IF(M24&lt;&gt;"",M24-B24,TODAY()-B24))</f>
        <v/>
      </c>
      <c r="O24" s="28" t="str">
        <f aca="true">IF(OR(J24="",L24="Closed"),"",IF(TODAY()&gt;J24,"Yes",""))</f>
        <v/>
      </c>
      <c r="P24" s="30"/>
    </row>
    <row r="25" customFormat="false" ht="15" hidden="false" customHeight="false" outlineLevel="0" collapsed="false">
      <c r="A25" s="33"/>
      <c r="B25" s="35"/>
      <c r="C25" s="33"/>
      <c r="D25" s="33"/>
      <c r="E25" s="33"/>
      <c r="F25" s="33"/>
      <c r="G25" s="33"/>
      <c r="H25" s="33"/>
      <c r="I25" s="33"/>
      <c r="J25" s="35"/>
      <c r="K25" s="33"/>
      <c r="L25" s="33"/>
      <c r="M25" s="35"/>
      <c r="N25" s="36" t="str">
        <f aca="true">IF(B25="","",IF(M25&lt;&gt;"",M25-B25,TODAY()-B25))</f>
        <v/>
      </c>
      <c r="O25" s="28" t="str">
        <f aca="true">IF(OR(J25="",L25="Closed"),"",IF(TODAY()&gt;J25,"Yes",""))</f>
        <v/>
      </c>
      <c r="P25" s="33"/>
    </row>
    <row r="26" customFormat="false" ht="15" hidden="false" customHeight="false" outlineLevel="0" collapsed="false">
      <c r="A26" s="30"/>
      <c r="B26" s="32"/>
      <c r="C26" s="30"/>
      <c r="D26" s="30"/>
      <c r="E26" s="30"/>
      <c r="F26" s="30"/>
      <c r="G26" s="30"/>
      <c r="H26" s="30"/>
      <c r="I26" s="30"/>
      <c r="J26" s="32"/>
      <c r="K26" s="30"/>
      <c r="L26" s="30"/>
      <c r="M26" s="32"/>
      <c r="N26" s="36" t="str">
        <f aca="true">IF(B26="","",IF(M26&lt;&gt;"",M26-B26,TODAY()-B26))</f>
        <v/>
      </c>
      <c r="O26" s="28" t="str">
        <f aca="true">IF(OR(J26="",L26="Closed"),"",IF(TODAY()&gt;J26,"Yes",""))</f>
        <v/>
      </c>
      <c r="P26" s="30"/>
    </row>
    <row r="27" customFormat="false" ht="15" hidden="false" customHeight="false" outlineLevel="0" collapsed="false">
      <c r="A27" s="33"/>
      <c r="B27" s="35"/>
      <c r="C27" s="33"/>
      <c r="D27" s="33"/>
      <c r="E27" s="33"/>
      <c r="F27" s="33"/>
      <c r="G27" s="33"/>
      <c r="H27" s="33"/>
      <c r="I27" s="33"/>
      <c r="J27" s="35"/>
      <c r="K27" s="33"/>
      <c r="L27" s="33"/>
      <c r="M27" s="35"/>
      <c r="N27" s="36" t="str">
        <f aca="true">IF(B27="","",IF(M27&lt;&gt;"",M27-B27,TODAY()-B27))</f>
        <v/>
      </c>
      <c r="O27" s="28" t="str">
        <f aca="true">IF(OR(J27="",L27="Closed"),"",IF(TODAY()&gt;J27,"Yes",""))</f>
        <v/>
      </c>
      <c r="P27" s="33"/>
    </row>
    <row r="28" customFormat="false" ht="15" hidden="false" customHeight="false" outlineLevel="0" collapsed="false">
      <c r="A28" s="30"/>
      <c r="B28" s="32"/>
      <c r="C28" s="30"/>
      <c r="D28" s="30"/>
      <c r="E28" s="30"/>
      <c r="F28" s="30"/>
      <c r="G28" s="30"/>
      <c r="H28" s="30"/>
      <c r="I28" s="30"/>
      <c r="J28" s="32"/>
      <c r="K28" s="30"/>
      <c r="L28" s="30"/>
      <c r="M28" s="32"/>
      <c r="N28" s="36" t="str">
        <f aca="true">IF(B28="","",IF(M28&lt;&gt;"",M28-B28,TODAY()-B28))</f>
        <v/>
      </c>
      <c r="O28" s="28" t="str">
        <f aca="true">IF(OR(J28="",L28="Closed"),"",IF(TODAY()&gt;J28,"Yes",""))</f>
        <v/>
      </c>
      <c r="P28" s="30"/>
    </row>
    <row r="29" customFormat="false" ht="15" hidden="false" customHeight="false" outlineLevel="0" collapsed="false">
      <c r="A29" s="33"/>
      <c r="B29" s="35"/>
      <c r="C29" s="33"/>
      <c r="D29" s="33"/>
      <c r="E29" s="33"/>
      <c r="F29" s="33"/>
      <c r="G29" s="33"/>
      <c r="H29" s="33"/>
      <c r="I29" s="33"/>
      <c r="J29" s="35"/>
      <c r="K29" s="33"/>
      <c r="L29" s="33"/>
      <c r="M29" s="35"/>
      <c r="N29" s="36" t="str">
        <f aca="true">IF(B29="","",IF(M29&lt;&gt;"",M29-B29,TODAY()-B29))</f>
        <v/>
      </c>
      <c r="O29" s="28" t="str">
        <f aca="true">IF(OR(J29="",L29="Closed"),"",IF(TODAY()&gt;J29,"Yes",""))</f>
        <v/>
      </c>
      <c r="P29" s="33"/>
    </row>
    <row r="30" customFormat="false" ht="15" hidden="false" customHeight="false" outlineLevel="0" collapsed="false">
      <c r="A30" s="30"/>
      <c r="B30" s="32"/>
      <c r="C30" s="30"/>
      <c r="D30" s="30"/>
      <c r="E30" s="30"/>
      <c r="F30" s="30"/>
      <c r="G30" s="30"/>
      <c r="H30" s="30"/>
      <c r="I30" s="30"/>
      <c r="J30" s="32"/>
      <c r="K30" s="30"/>
      <c r="L30" s="30"/>
      <c r="M30" s="32"/>
      <c r="N30" s="36" t="str">
        <f aca="true">IF(B30="","",IF(M30&lt;&gt;"",M30-B30,TODAY()-B30))</f>
        <v/>
      </c>
      <c r="O30" s="28" t="str">
        <f aca="true">IF(OR(J30="",L30="Closed"),"",IF(TODAY()&gt;J30,"Yes",""))</f>
        <v/>
      </c>
      <c r="P30" s="30"/>
    </row>
    <row r="31" customFormat="false" ht="15" hidden="false" customHeight="false" outlineLevel="0" collapsed="false">
      <c r="A31" s="33"/>
      <c r="B31" s="35"/>
      <c r="C31" s="33"/>
      <c r="D31" s="33"/>
      <c r="E31" s="33"/>
      <c r="F31" s="33"/>
      <c r="G31" s="33"/>
      <c r="H31" s="33"/>
      <c r="I31" s="33"/>
      <c r="J31" s="35"/>
      <c r="K31" s="33"/>
      <c r="L31" s="33"/>
      <c r="M31" s="35"/>
      <c r="N31" s="36" t="str">
        <f aca="true">IF(B31="","",IF(M31&lt;&gt;"",M31-B31,TODAY()-B31))</f>
        <v/>
      </c>
      <c r="O31" s="28" t="str">
        <f aca="true">IF(OR(J31="",L31="Closed"),"",IF(TODAY()&gt;J31,"Yes",""))</f>
        <v/>
      </c>
      <c r="P31" s="33"/>
    </row>
    <row r="32" customFormat="false" ht="15" hidden="false" customHeight="false" outlineLevel="0" collapsed="false">
      <c r="A32" s="30"/>
      <c r="B32" s="32"/>
      <c r="C32" s="30"/>
      <c r="D32" s="30"/>
      <c r="E32" s="30"/>
      <c r="F32" s="30"/>
      <c r="G32" s="30"/>
      <c r="H32" s="30"/>
      <c r="I32" s="30"/>
      <c r="J32" s="32"/>
      <c r="K32" s="30"/>
      <c r="L32" s="30"/>
      <c r="M32" s="32"/>
      <c r="N32" s="36" t="str">
        <f aca="true">IF(B32="","",IF(M32&lt;&gt;"",M32-B32,TODAY()-B32))</f>
        <v/>
      </c>
      <c r="O32" s="28" t="str">
        <f aca="true">IF(OR(J32="",L32="Closed"),"",IF(TODAY()&gt;J32,"Yes",""))</f>
        <v/>
      </c>
      <c r="P32" s="30"/>
    </row>
    <row r="33" customFormat="false" ht="15" hidden="false" customHeight="false" outlineLevel="0" collapsed="false">
      <c r="A33" s="33"/>
      <c r="B33" s="35"/>
      <c r="C33" s="33"/>
      <c r="D33" s="33"/>
      <c r="E33" s="33"/>
      <c r="F33" s="33"/>
      <c r="G33" s="33"/>
      <c r="H33" s="33"/>
      <c r="I33" s="33"/>
      <c r="J33" s="35"/>
      <c r="K33" s="33"/>
      <c r="L33" s="33"/>
      <c r="M33" s="35"/>
      <c r="N33" s="36" t="str">
        <f aca="true">IF(B33="","",IF(M33&lt;&gt;"",M33-B33,TODAY()-B33))</f>
        <v/>
      </c>
      <c r="O33" s="28" t="str">
        <f aca="true">IF(OR(J33="",L33="Closed"),"",IF(TODAY()&gt;J33,"Yes",""))</f>
        <v/>
      </c>
      <c r="P33" s="33"/>
    </row>
    <row r="34" customFormat="false" ht="15" hidden="false" customHeight="false" outlineLevel="0" collapsed="false">
      <c r="A34" s="30"/>
      <c r="B34" s="32"/>
      <c r="C34" s="30"/>
      <c r="D34" s="30"/>
      <c r="E34" s="30"/>
      <c r="F34" s="30"/>
      <c r="G34" s="30"/>
      <c r="H34" s="30"/>
      <c r="I34" s="30"/>
      <c r="J34" s="32"/>
      <c r="K34" s="30"/>
      <c r="L34" s="30"/>
      <c r="M34" s="32"/>
      <c r="N34" s="36" t="str">
        <f aca="true">IF(B34="","",IF(M34&lt;&gt;"",M34-B34,TODAY()-B34))</f>
        <v/>
      </c>
      <c r="O34" s="28" t="str">
        <f aca="true">IF(OR(J34="",L34="Closed"),"",IF(TODAY()&gt;J34,"Yes",""))</f>
        <v/>
      </c>
      <c r="P34" s="30"/>
    </row>
    <row r="35" customFormat="false" ht="15" hidden="false" customHeight="false" outlineLevel="0" collapsed="false">
      <c r="A35" s="33"/>
      <c r="B35" s="35"/>
      <c r="C35" s="33"/>
      <c r="D35" s="33"/>
      <c r="E35" s="33"/>
      <c r="F35" s="33"/>
      <c r="G35" s="33"/>
      <c r="H35" s="33"/>
      <c r="I35" s="33"/>
      <c r="J35" s="35"/>
      <c r="K35" s="33"/>
      <c r="L35" s="33"/>
      <c r="M35" s="35"/>
      <c r="N35" s="36" t="str">
        <f aca="true">IF(B35="","",IF(M35&lt;&gt;"",M35-B35,TODAY()-B35))</f>
        <v/>
      </c>
      <c r="O35" s="28" t="str">
        <f aca="true">IF(OR(J35="",L35="Closed"),"",IF(TODAY()&gt;J35,"Yes",""))</f>
        <v/>
      </c>
      <c r="P35" s="33"/>
    </row>
    <row r="36" customFormat="false" ht="15" hidden="false" customHeight="false" outlineLevel="0" collapsed="false">
      <c r="A36" s="30"/>
      <c r="B36" s="32"/>
      <c r="C36" s="30"/>
      <c r="D36" s="30"/>
      <c r="E36" s="30"/>
      <c r="F36" s="30"/>
      <c r="G36" s="30"/>
      <c r="H36" s="30"/>
      <c r="I36" s="30"/>
      <c r="J36" s="32"/>
      <c r="K36" s="30"/>
      <c r="L36" s="30"/>
      <c r="M36" s="32"/>
      <c r="N36" s="36" t="str">
        <f aca="true">IF(B36="","",IF(M36&lt;&gt;"",M36-B36,TODAY()-B36))</f>
        <v/>
      </c>
      <c r="O36" s="28" t="str">
        <f aca="true">IF(OR(J36="",L36="Closed"),"",IF(TODAY()&gt;J36,"Yes",""))</f>
        <v/>
      </c>
      <c r="P36" s="30"/>
    </row>
    <row r="37" customFormat="false" ht="15" hidden="false" customHeight="false" outlineLevel="0" collapsed="false">
      <c r="A37" s="33"/>
      <c r="B37" s="35"/>
      <c r="C37" s="33"/>
      <c r="D37" s="33"/>
      <c r="E37" s="33"/>
      <c r="F37" s="33"/>
      <c r="G37" s="33"/>
      <c r="H37" s="33"/>
      <c r="I37" s="33"/>
      <c r="J37" s="35"/>
      <c r="K37" s="33"/>
      <c r="L37" s="33"/>
      <c r="M37" s="35"/>
      <c r="N37" s="36" t="str">
        <f aca="true">IF(B37="","",IF(M37&lt;&gt;"",M37-B37,TODAY()-B37))</f>
        <v/>
      </c>
      <c r="O37" s="28" t="str">
        <f aca="true">IF(OR(J37="",L37="Closed"),"",IF(TODAY()&gt;J37,"Yes",""))</f>
        <v/>
      </c>
      <c r="P37" s="33"/>
    </row>
    <row r="38" customFormat="false" ht="15" hidden="false" customHeight="false" outlineLevel="0" collapsed="false">
      <c r="A38" s="30"/>
      <c r="B38" s="32"/>
      <c r="C38" s="30"/>
      <c r="D38" s="30"/>
      <c r="E38" s="30"/>
      <c r="F38" s="30"/>
      <c r="G38" s="30"/>
      <c r="H38" s="30"/>
      <c r="I38" s="30"/>
      <c r="J38" s="32"/>
      <c r="K38" s="30"/>
      <c r="L38" s="30"/>
      <c r="M38" s="32"/>
      <c r="N38" s="36" t="str">
        <f aca="true">IF(B38="","",IF(M38&lt;&gt;"",M38-B38,TODAY()-B38))</f>
        <v/>
      </c>
      <c r="O38" s="28" t="str">
        <f aca="true">IF(OR(J38="",L38="Closed"),"",IF(TODAY()&gt;J38,"Yes",""))</f>
        <v/>
      </c>
      <c r="P38" s="30"/>
    </row>
    <row r="39" customFormat="false" ht="15" hidden="false" customHeight="false" outlineLevel="0" collapsed="false">
      <c r="A39" s="33"/>
      <c r="B39" s="35"/>
      <c r="C39" s="33"/>
      <c r="D39" s="33"/>
      <c r="E39" s="33"/>
      <c r="F39" s="33"/>
      <c r="G39" s="33"/>
      <c r="H39" s="33"/>
      <c r="I39" s="33"/>
      <c r="J39" s="35"/>
      <c r="K39" s="33"/>
      <c r="L39" s="33"/>
      <c r="M39" s="35"/>
      <c r="N39" s="36" t="str">
        <f aca="true">IF(B39="","",IF(M39&lt;&gt;"",M39-B39,TODAY()-B39))</f>
        <v/>
      </c>
      <c r="O39" s="28" t="str">
        <f aca="true">IF(OR(J39="",L39="Closed"),"",IF(TODAY()&gt;J39,"Yes",""))</f>
        <v/>
      </c>
      <c r="P39" s="33"/>
    </row>
    <row r="40" customFormat="false" ht="15" hidden="false" customHeight="false" outlineLevel="0" collapsed="false">
      <c r="A40" s="30"/>
      <c r="B40" s="32"/>
      <c r="C40" s="30"/>
      <c r="D40" s="30"/>
      <c r="E40" s="30"/>
      <c r="F40" s="30"/>
      <c r="G40" s="30"/>
      <c r="H40" s="30"/>
      <c r="I40" s="30"/>
      <c r="J40" s="32"/>
      <c r="K40" s="30"/>
      <c r="L40" s="30"/>
      <c r="M40" s="32"/>
      <c r="N40" s="36" t="str">
        <f aca="true">IF(B40="","",IF(M40&lt;&gt;"",M40-B40,TODAY()-B40))</f>
        <v/>
      </c>
      <c r="O40" s="28" t="str">
        <f aca="true">IF(OR(J40="",L40="Closed"),"",IF(TODAY()&gt;J40,"Yes",""))</f>
        <v/>
      </c>
      <c r="P40" s="30"/>
    </row>
    <row r="41" customFormat="false" ht="15" hidden="false" customHeight="false" outlineLevel="0" collapsed="false">
      <c r="A41" s="33"/>
      <c r="B41" s="35"/>
      <c r="C41" s="33"/>
      <c r="D41" s="33"/>
      <c r="E41" s="33"/>
      <c r="F41" s="33"/>
      <c r="G41" s="33"/>
      <c r="H41" s="33"/>
      <c r="I41" s="33"/>
      <c r="J41" s="35"/>
      <c r="K41" s="33"/>
      <c r="L41" s="33"/>
      <c r="M41" s="35"/>
      <c r="N41" s="36" t="str">
        <f aca="true">IF(B41="","",IF(M41&lt;&gt;"",M41-B41,TODAY()-B41))</f>
        <v/>
      </c>
      <c r="O41" s="28" t="str">
        <f aca="true">IF(OR(J41="",L41="Closed"),"",IF(TODAY()&gt;J41,"Yes",""))</f>
        <v/>
      </c>
      <c r="P41" s="33"/>
    </row>
    <row r="42" customFormat="false" ht="15" hidden="false" customHeight="false" outlineLevel="0" collapsed="false">
      <c r="A42" s="30"/>
      <c r="B42" s="32"/>
      <c r="C42" s="30"/>
      <c r="D42" s="30"/>
      <c r="E42" s="30"/>
      <c r="F42" s="30"/>
      <c r="G42" s="30"/>
      <c r="H42" s="30"/>
      <c r="I42" s="30"/>
      <c r="J42" s="32"/>
      <c r="K42" s="30"/>
      <c r="L42" s="30"/>
      <c r="M42" s="32"/>
      <c r="N42" s="36" t="str">
        <f aca="true">IF(B42="","",IF(M42&lt;&gt;"",M42-B42,TODAY()-B42))</f>
        <v/>
      </c>
      <c r="O42" s="28" t="str">
        <f aca="true">IF(OR(J42="",L42="Closed"),"",IF(TODAY()&gt;J42,"Yes",""))</f>
        <v/>
      </c>
      <c r="P42" s="30"/>
    </row>
    <row r="43" customFormat="false" ht="15" hidden="false" customHeight="false" outlineLevel="0" collapsed="false">
      <c r="A43" s="33"/>
      <c r="B43" s="35"/>
      <c r="C43" s="33"/>
      <c r="D43" s="33"/>
      <c r="E43" s="33"/>
      <c r="F43" s="33"/>
      <c r="G43" s="33"/>
      <c r="H43" s="33"/>
      <c r="I43" s="33"/>
      <c r="J43" s="35"/>
      <c r="K43" s="33"/>
      <c r="L43" s="33"/>
      <c r="M43" s="35"/>
      <c r="N43" s="36" t="str">
        <f aca="true">IF(B43="","",IF(M43&lt;&gt;"",M43-B43,TODAY()-B43))</f>
        <v/>
      </c>
      <c r="O43" s="28" t="str">
        <f aca="true">IF(OR(J43="",L43="Closed"),"",IF(TODAY()&gt;J43,"Yes",""))</f>
        <v/>
      </c>
      <c r="P43" s="33"/>
    </row>
    <row r="44" customFormat="false" ht="15" hidden="false" customHeight="false" outlineLevel="0" collapsed="false">
      <c r="A44" s="30"/>
      <c r="B44" s="32"/>
      <c r="C44" s="30"/>
      <c r="D44" s="30"/>
      <c r="E44" s="30"/>
      <c r="F44" s="30"/>
      <c r="G44" s="30"/>
      <c r="H44" s="30"/>
      <c r="I44" s="30"/>
      <c r="J44" s="32"/>
      <c r="K44" s="30"/>
      <c r="L44" s="30"/>
      <c r="M44" s="32"/>
      <c r="N44" s="36" t="str">
        <f aca="true">IF(B44="","",IF(M44&lt;&gt;"",M44-B44,TODAY()-B44))</f>
        <v/>
      </c>
      <c r="O44" s="28" t="str">
        <f aca="true">IF(OR(J44="",L44="Closed"),"",IF(TODAY()&gt;J44,"Yes",""))</f>
        <v/>
      </c>
      <c r="P44" s="30"/>
    </row>
    <row r="45" customFormat="false" ht="15" hidden="false" customHeight="false" outlineLevel="0" collapsed="false">
      <c r="A45" s="33"/>
      <c r="B45" s="35"/>
      <c r="C45" s="33"/>
      <c r="D45" s="33"/>
      <c r="E45" s="33"/>
      <c r="F45" s="33"/>
      <c r="G45" s="33"/>
      <c r="H45" s="33"/>
      <c r="I45" s="33"/>
      <c r="J45" s="35"/>
      <c r="K45" s="33"/>
      <c r="L45" s="33"/>
      <c r="M45" s="35"/>
      <c r="N45" s="36" t="str">
        <f aca="true">IF(B45="","",IF(M45&lt;&gt;"",M45-B45,TODAY()-B45))</f>
        <v/>
      </c>
      <c r="O45" s="28" t="str">
        <f aca="true">IF(OR(J45="",L45="Closed"),"",IF(TODAY()&gt;J45,"Yes",""))</f>
        <v/>
      </c>
      <c r="P45" s="33"/>
    </row>
    <row r="46" customFormat="false" ht="15" hidden="false" customHeight="false" outlineLevel="0" collapsed="false">
      <c r="A46" s="30"/>
      <c r="B46" s="32"/>
      <c r="C46" s="30"/>
      <c r="D46" s="30"/>
      <c r="E46" s="30"/>
      <c r="F46" s="30"/>
      <c r="G46" s="30"/>
      <c r="H46" s="30"/>
      <c r="I46" s="30"/>
      <c r="J46" s="32"/>
      <c r="K46" s="30"/>
      <c r="L46" s="30"/>
      <c r="M46" s="32"/>
      <c r="N46" s="36" t="str">
        <f aca="true">IF(B46="","",IF(M46&lt;&gt;"",M46-B46,TODAY()-B46))</f>
        <v/>
      </c>
      <c r="O46" s="28" t="str">
        <f aca="true">IF(OR(J46="",L46="Closed"),"",IF(TODAY()&gt;J46,"Yes",""))</f>
        <v/>
      </c>
      <c r="P46" s="30"/>
    </row>
    <row r="47" customFormat="false" ht="15" hidden="false" customHeight="false" outlineLevel="0" collapsed="false">
      <c r="A47" s="33"/>
      <c r="B47" s="35"/>
      <c r="C47" s="33"/>
      <c r="D47" s="33"/>
      <c r="E47" s="33"/>
      <c r="F47" s="33"/>
      <c r="G47" s="33"/>
      <c r="H47" s="33"/>
      <c r="I47" s="33"/>
      <c r="J47" s="35"/>
      <c r="K47" s="33"/>
      <c r="L47" s="33"/>
      <c r="M47" s="35"/>
      <c r="N47" s="36" t="str">
        <f aca="true">IF(B47="","",IF(M47&lt;&gt;"",M47-B47,TODAY()-B47))</f>
        <v/>
      </c>
      <c r="O47" s="28" t="str">
        <f aca="true">IF(OR(J47="",L47="Closed"),"",IF(TODAY()&gt;J47,"Yes",""))</f>
        <v/>
      </c>
      <c r="P47" s="33"/>
    </row>
    <row r="48" customFormat="false" ht="15" hidden="false" customHeight="false" outlineLevel="0" collapsed="false">
      <c r="A48" s="30"/>
      <c r="B48" s="32"/>
      <c r="C48" s="30"/>
      <c r="D48" s="30"/>
      <c r="E48" s="30"/>
      <c r="F48" s="30"/>
      <c r="G48" s="30"/>
      <c r="H48" s="30"/>
      <c r="I48" s="30"/>
      <c r="J48" s="32"/>
      <c r="K48" s="30"/>
      <c r="L48" s="30"/>
      <c r="M48" s="32"/>
      <c r="N48" s="36" t="str">
        <f aca="true">IF(B48="","",IF(M48&lt;&gt;"",M48-B48,TODAY()-B48))</f>
        <v/>
      </c>
      <c r="O48" s="28" t="str">
        <f aca="true">IF(OR(J48="",L48="Closed"),"",IF(TODAY()&gt;J48,"Yes",""))</f>
        <v/>
      </c>
      <c r="P48" s="30"/>
    </row>
    <row r="49" customFormat="false" ht="15" hidden="false" customHeight="false" outlineLevel="0" collapsed="false">
      <c r="A49" s="33"/>
      <c r="B49" s="35"/>
      <c r="C49" s="33"/>
      <c r="D49" s="33"/>
      <c r="E49" s="33"/>
      <c r="F49" s="33"/>
      <c r="G49" s="33"/>
      <c r="H49" s="33"/>
      <c r="I49" s="33"/>
      <c r="J49" s="35"/>
      <c r="K49" s="33"/>
      <c r="L49" s="33"/>
      <c r="M49" s="35"/>
      <c r="N49" s="36" t="str">
        <f aca="true">IF(B49="","",IF(M49&lt;&gt;"",M49-B49,TODAY()-B49))</f>
        <v/>
      </c>
      <c r="O49" s="28" t="str">
        <f aca="true">IF(OR(J49="",L49="Closed"),"",IF(TODAY()&gt;J49,"Yes",""))</f>
        <v/>
      </c>
      <c r="P49" s="33"/>
    </row>
    <row r="50" customFormat="false" ht="15" hidden="false" customHeight="false" outlineLevel="0" collapsed="false">
      <c r="A50" s="30"/>
      <c r="B50" s="32"/>
      <c r="C50" s="30"/>
      <c r="D50" s="30"/>
      <c r="E50" s="30"/>
      <c r="F50" s="30"/>
      <c r="G50" s="30"/>
      <c r="H50" s="30"/>
      <c r="I50" s="30"/>
      <c r="J50" s="32"/>
      <c r="K50" s="30"/>
      <c r="L50" s="30"/>
      <c r="M50" s="32"/>
      <c r="N50" s="36" t="str">
        <f aca="true">IF(B50="","",IF(M50&lt;&gt;"",M50-B50,TODAY()-B50))</f>
        <v/>
      </c>
      <c r="O50" s="28" t="str">
        <f aca="true">IF(OR(J50="",L50="Closed"),"",IF(TODAY()&gt;J50,"Yes",""))</f>
        <v/>
      </c>
      <c r="P50" s="30"/>
    </row>
    <row r="51" customFormat="false" ht="15" hidden="false" customHeight="false" outlineLevel="0" collapsed="false">
      <c r="A51" s="33"/>
      <c r="B51" s="35"/>
      <c r="C51" s="33"/>
      <c r="D51" s="33"/>
      <c r="E51" s="33"/>
      <c r="F51" s="33"/>
      <c r="G51" s="33"/>
      <c r="H51" s="33"/>
      <c r="I51" s="33"/>
      <c r="J51" s="35"/>
      <c r="K51" s="33"/>
      <c r="L51" s="33"/>
      <c r="M51" s="35"/>
      <c r="N51" s="36" t="str">
        <f aca="true">IF(B51="","",IF(M51&lt;&gt;"",M51-B51,TODAY()-B51))</f>
        <v/>
      </c>
      <c r="O51" s="28" t="str">
        <f aca="true">IF(OR(J51="",L51="Closed"),"",IF(TODAY()&gt;J51,"Yes",""))</f>
        <v/>
      </c>
      <c r="P51" s="33"/>
    </row>
    <row r="52" customFormat="false" ht="15" hidden="false" customHeight="false" outlineLevel="0" collapsed="false">
      <c r="A52" s="30"/>
      <c r="B52" s="32"/>
      <c r="C52" s="30"/>
      <c r="D52" s="30"/>
      <c r="E52" s="30"/>
      <c r="F52" s="30"/>
      <c r="G52" s="30"/>
      <c r="H52" s="30"/>
      <c r="I52" s="30"/>
      <c r="J52" s="32"/>
      <c r="K52" s="30"/>
      <c r="L52" s="30"/>
      <c r="M52" s="32"/>
      <c r="N52" s="36" t="str">
        <f aca="true">IF(B52="","",IF(M52&lt;&gt;"",M52-B52,TODAY()-B52))</f>
        <v/>
      </c>
      <c r="O52" s="28" t="str">
        <f aca="true">IF(OR(J52="",L52="Closed"),"",IF(TODAY()&gt;J52,"Yes",""))</f>
        <v/>
      </c>
      <c r="P52" s="30"/>
    </row>
    <row r="53" customFormat="false" ht="15" hidden="false" customHeight="false" outlineLevel="0" collapsed="false">
      <c r="A53" s="33"/>
      <c r="B53" s="35"/>
      <c r="C53" s="33"/>
      <c r="D53" s="33"/>
      <c r="E53" s="33"/>
      <c r="F53" s="33"/>
      <c r="G53" s="33"/>
      <c r="H53" s="33"/>
      <c r="I53" s="33"/>
      <c r="J53" s="35"/>
      <c r="K53" s="33"/>
      <c r="L53" s="33"/>
      <c r="M53" s="35"/>
      <c r="N53" s="36" t="str">
        <f aca="true">IF(B53="","",IF(M53&lt;&gt;"",M53-B53,TODAY()-B53))</f>
        <v/>
      </c>
      <c r="O53" s="28" t="str">
        <f aca="true">IF(OR(J53="",L53="Closed"),"",IF(TODAY()&gt;J53,"Yes",""))</f>
        <v/>
      </c>
      <c r="P53" s="33"/>
    </row>
    <row r="54" customFormat="false" ht="15" hidden="false" customHeight="false" outlineLevel="0" collapsed="false">
      <c r="A54" s="30"/>
      <c r="B54" s="32"/>
      <c r="C54" s="30"/>
      <c r="D54" s="30"/>
      <c r="E54" s="30"/>
      <c r="F54" s="30"/>
      <c r="G54" s="30"/>
      <c r="H54" s="30"/>
      <c r="I54" s="30"/>
      <c r="J54" s="32"/>
      <c r="K54" s="30"/>
      <c r="L54" s="30"/>
      <c r="M54" s="32"/>
      <c r="N54" s="36" t="str">
        <f aca="true">IF(B54="","",IF(M54&lt;&gt;"",M54-B54,TODAY()-B54))</f>
        <v/>
      </c>
      <c r="O54" s="28" t="str">
        <f aca="true">IF(OR(J54="",L54="Closed"),"",IF(TODAY()&gt;J54,"Yes",""))</f>
        <v/>
      </c>
      <c r="P54" s="30"/>
    </row>
    <row r="55" customFormat="false" ht="15" hidden="false" customHeight="false" outlineLevel="0" collapsed="false">
      <c r="A55" s="33"/>
      <c r="B55" s="35"/>
      <c r="C55" s="33"/>
      <c r="D55" s="33"/>
      <c r="E55" s="33"/>
      <c r="F55" s="33"/>
      <c r="G55" s="33"/>
      <c r="H55" s="33"/>
      <c r="I55" s="33"/>
      <c r="J55" s="35"/>
      <c r="K55" s="33"/>
      <c r="L55" s="33"/>
      <c r="M55" s="35"/>
      <c r="N55" s="36" t="str">
        <f aca="true">IF(B55="","",IF(M55&lt;&gt;"",M55-B55,TODAY()-B55))</f>
        <v/>
      </c>
      <c r="O55" s="28" t="str">
        <f aca="true">IF(OR(J55="",L55="Closed"),"",IF(TODAY()&gt;J55,"Yes",""))</f>
        <v/>
      </c>
      <c r="P55" s="33"/>
    </row>
    <row r="56" customFormat="false" ht="15" hidden="false" customHeight="false" outlineLevel="0" collapsed="false">
      <c r="A56" s="30"/>
      <c r="B56" s="32"/>
      <c r="C56" s="30"/>
      <c r="D56" s="30"/>
      <c r="E56" s="30"/>
      <c r="F56" s="30"/>
      <c r="G56" s="30"/>
      <c r="H56" s="30"/>
      <c r="I56" s="30"/>
      <c r="J56" s="32"/>
      <c r="K56" s="30"/>
      <c r="L56" s="30"/>
      <c r="M56" s="32"/>
      <c r="N56" s="36" t="str">
        <f aca="true">IF(B56="","",IF(M56&lt;&gt;"",M56-B56,TODAY()-B56))</f>
        <v/>
      </c>
      <c r="O56" s="28" t="str">
        <f aca="true">IF(OR(J56="",L56="Closed"),"",IF(TODAY()&gt;J56,"Yes",""))</f>
        <v/>
      </c>
      <c r="P56" s="30"/>
    </row>
    <row r="57" customFormat="false" ht="15" hidden="false" customHeight="false" outlineLevel="0" collapsed="false">
      <c r="A57" s="33"/>
      <c r="B57" s="35"/>
      <c r="C57" s="33"/>
      <c r="D57" s="33"/>
      <c r="E57" s="33"/>
      <c r="F57" s="33"/>
      <c r="G57" s="33"/>
      <c r="H57" s="33"/>
      <c r="I57" s="33"/>
      <c r="J57" s="35"/>
      <c r="K57" s="33"/>
      <c r="L57" s="33"/>
      <c r="M57" s="35"/>
      <c r="N57" s="36" t="str">
        <f aca="true">IF(B57="","",IF(M57&lt;&gt;"",M57-B57,TODAY()-B57))</f>
        <v/>
      </c>
      <c r="O57" s="28" t="str">
        <f aca="true">IF(OR(J57="",L57="Closed"),"",IF(TODAY()&gt;J57,"Yes",""))</f>
        <v/>
      </c>
      <c r="P57" s="33"/>
    </row>
    <row r="58" customFormat="false" ht="15" hidden="false" customHeight="false" outlineLevel="0" collapsed="false">
      <c r="A58" s="30"/>
      <c r="B58" s="32"/>
      <c r="C58" s="30"/>
      <c r="D58" s="30"/>
      <c r="E58" s="30"/>
      <c r="F58" s="30"/>
      <c r="G58" s="30"/>
      <c r="H58" s="30"/>
      <c r="I58" s="30"/>
      <c r="J58" s="32"/>
      <c r="K58" s="30"/>
      <c r="L58" s="30"/>
      <c r="M58" s="32"/>
      <c r="N58" s="36" t="str">
        <f aca="true">IF(B58="","",IF(M58&lt;&gt;"",M58-B58,TODAY()-B58))</f>
        <v/>
      </c>
      <c r="O58" s="28" t="str">
        <f aca="true">IF(OR(J58="",L58="Closed"),"",IF(TODAY()&gt;J58,"Yes",""))</f>
        <v/>
      </c>
      <c r="P58" s="30"/>
    </row>
    <row r="59" customFormat="false" ht="15" hidden="false" customHeight="false" outlineLevel="0" collapsed="false">
      <c r="A59" s="33"/>
      <c r="B59" s="35"/>
      <c r="C59" s="33"/>
      <c r="D59" s="33"/>
      <c r="E59" s="33"/>
      <c r="F59" s="33"/>
      <c r="G59" s="33"/>
      <c r="H59" s="33"/>
      <c r="I59" s="33"/>
      <c r="J59" s="35"/>
      <c r="K59" s="33"/>
      <c r="L59" s="33"/>
      <c r="M59" s="35"/>
      <c r="N59" s="36" t="str">
        <f aca="true">IF(B59="","",IF(M59&lt;&gt;"",M59-B59,TODAY()-B59))</f>
        <v/>
      </c>
      <c r="O59" s="28" t="str">
        <f aca="true">IF(OR(J59="",L59="Closed"),"",IF(TODAY()&gt;J59,"Yes",""))</f>
        <v/>
      </c>
      <c r="P59" s="33"/>
    </row>
    <row r="60" customFormat="false" ht="15" hidden="false" customHeight="false" outlineLevel="0" collapsed="false">
      <c r="A60" s="30"/>
      <c r="B60" s="32"/>
      <c r="C60" s="30"/>
      <c r="D60" s="30"/>
      <c r="E60" s="30"/>
      <c r="F60" s="30"/>
      <c r="G60" s="30"/>
      <c r="H60" s="30"/>
      <c r="I60" s="30"/>
      <c r="J60" s="32"/>
      <c r="K60" s="30"/>
      <c r="L60" s="30"/>
      <c r="M60" s="32"/>
      <c r="N60" s="36" t="str">
        <f aca="true">IF(B60="","",IF(M60&lt;&gt;"",M60-B60,TODAY()-B60))</f>
        <v/>
      </c>
      <c r="O60" s="28" t="str">
        <f aca="true">IF(OR(J60="",L60="Closed"),"",IF(TODAY()&gt;J60,"Yes",""))</f>
        <v/>
      </c>
      <c r="P60" s="30"/>
    </row>
    <row r="61" customFormat="false" ht="15" hidden="false" customHeight="false" outlineLevel="0" collapsed="false">
      <c r="A61" s="33"/>
      <c r="B61" s="35"/>
      <c r="C61" s="33"/>
      <c r="D61" s="33"/>
      <c r="E61" s="33"/>
      <c r="F61" s="33"/>
      <c r="G61" s="33"/>
      <c r="H61" s="33"/>
      <c r="I61" s="33"/>
      <c r="J61" s="35"/>
      <c r="K61" s="33"/>
      <c r="L61" s="33"/>
      <c r="M61" s="35"/>
      <c r="N61" s="36" t="str">
        <f aca="true">IF(B61="","",IF(M61&lt;&gt;"",M61-B61,TODAY()-B61))</f>
        <v/>
      </c>
      <c r="O61" s="28" t="str">
        <f aca="true">IF(OR(J61="",L61="Closed"),"",IF(TODAY()&gt;J61,"Yes",""))</f>
        <v/>
      </c>
      <c r="P61" s="33"/>
    </row>
    <row r="62" customFormat="false" ht="15" hidden="false" customHeight="false" outlineLevel="0" collapsed="false">
      <c r="A62" s="30"/>
      <c r="B62" s="32"/>
      <c r="C62" s="30"/>
      <c r="D62" s="30"/>
      <c r="E62" s="30"/>
      <c r="F62" s="30"/>
      <c r="G62" s="30"/>
      <c r="H62" s="30"/>
      <c r="I62" s="30"/>
      <c r="J62" s="32"/>
      <c r="K62" s="30"/>
      <c r="L62" s="30"/>
      <c r="M62" s="32"/>
      <c r="N62" s="36" t="str">
        <f aca="true">IF(B62="","",IF(M62&lt;&gt;"",M62-B62,TODAY()-B62))</f>
        <v/>
      </c>
      <c r="O62" s="28" t="str">
        <f aca="true">IF(OR(J62="",L62="Closed"),"",IF(TODAY()&gt;J62,"Yes",""))</f>
        <v/>
      </c>
      <c r="P62" s="30"/>
    </row>
    <row r="63" customFormat="false" ht="15" hidden="false" customHeight="false" outlineLevel="0" collapsed="false">
      <c r="A63" s="33"/>
      <c r="B63" s="35"/>
      <c r="C63" s="33"/>
      <c r="D63" s="33"/>
      <c r="E63" s="33"/>
      <c r="F63" s="33"/>
      <c r="G63" s="33"/>
      <c r="H63" s="33"/>
      <c r="I63" s="33"/>
      <c r="J63" s="35"/>
      <c r="K63" s="33"/>
      <c r="L63" s="33"/>
      <c r="M63" s="35"/>
      <c r="N63" s="36" t="str">
        <f aca="true">IF(B63="","",IF(M63&lt;&gt;"",M63-B63,TODAY()-B63))</f>
        <v/>
      </c>
      <c r="O63" s="28" t="str">
        <f aca="true">IF(OR(J63="",L63="Closed"),"",IF(TODAY()&gt;J63,"Yes",""))</f>
        <v/>
      </c>
      <c r="P63" s="33"/>
    </row>
    <row r="64" customFormat="false" ht="15" hidden="false" customHeight="false" outlineLevel="0" collapsed="false">
      <c r="A64" s="30"/>
      <c r="B64" s="32"/>
      <c r="C64" s="30"/>
      <c r="D64" s="30"/>
      <c r="E64" s="30"/>
      <c r="F64" s="30"/>
      <c r="G64" s="30"/>
      <c r="H64" s="30"/>
      <c r="I64" s="30"/>
      <c r="J64" s="32"/>
      <c r="K64" s="30"/>
      <c r="L64" s="30"/>
      <c r="M64" s="32"/>
      <c r="N64" s="36" t="str">
        <f aca="true">IF(B64="","",IF(M64&lt;&gt;"",M64-B64,TODAY()-B64))</f>
        <v/>
      </c>
      <c r="O64" s="28" t="str">
        <f aca="true">IF(OR(J64="",L64="Closed"),"",IF(TODAY()&gt;J64,"Yes",""))</f>
        <v/>
      </c>
      <c r="P64" s="30"/>
    </row>
  </sheetData>
  <autoFilter ref="A4:P64"/>
  <mergeCells count="2">
    <mergeCell ref="A1:P1"/>
    <mergeCell ref="A2:P2"/>
  </mergeCells>
  <conditionalFormatting sqref="E5:E64">
    <cfRule type="cellIs" priority="2" operator="equal" aboveAverage="0" equalAverage="0" bottom="0" percent="0" rank="0" text="" dxfId="11">
      <formula>"Critical"</formula>
    </cfRule>
    <cfRule type="cellIs" priority="3" operator="equal" aboveAverage="0" equalAverage="0" bottom="0" percent="0" rank="0" text="" dxfId="12">
      <formula>"High"</formula>
    </cfRule>
    <cfRule type="cellIs" priority="4" operator="equal" aboveAverage="0" equalAverage="0" bottom="0" percent="0" rank="0" text="" dxfId="13">
      <formula>"Medium"</formula>
    </cfRule>
    <cfRule type="cellIs" priority="5" operator="equal" aboveAverage="0" equalAverage="0" bottom="0" percent="0" rank="0" text="" dxfId="14">
      <formula>"Low"</formula>
    </cfRule>
  </conditionalFormatting>
  <conditionalFormatting sqref="L5:L64">
    <cfRule type="cellIs" priority="6" operator="equal" aboveAverage="0" equalAverage="0" bottom="0" percent="0" rank="0" text="" dxfId="15">
      <formula>"Closed"</formula>
    </cfRule>
    <cfRule type="cellIs" priority="7" operator="equal" aboveAverage="0" equalAverage="0" bottom="0" percent="0" rank="0" text="" dxfId="16">
      <formula>"Open"</formula>
    </cfRule>
    <cfRule type="cellIs" priority="8" operator="equal" aboveAverage="0" equalAverage="0" bottom="0" percent="0" rank="0" text="" dxfId="13">
      <formula>"On hold"</formula>
    </cfRule>
  </conditionalFormatting>
  <conditionalFormatting sqref="O5:O64">
    <cfRule type="cellIs" priority="9" operator="equal" aboveAverage="0" equalAverage="0" bottom="0" percent="0" rank="0" text="" dxfId="17">
      <formula>"Yes"</formula>
    </cfRule>
  </conditionalFormatting>
  <dataValidations count="4">
    <dataValidation allowBlank="true" error="Please select a value from the list (toolkit controlled vocabulary)." errorStyle="stop" errorTitle="Invalid entry" operator="between" showDropDown="false" showErrorMessage="true" showInputMessage="false" sqref="D5:D64" type="list">
      <formula1>Lists!$E$2:$E$9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E5:E64" type="list">
      <formula1>Lists!$F$2:$F$5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K5:K64" type="list">
      <formula1>Lists!$G$2:$G$4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64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26"/>
  </cols>
  <sheetData>
    <row r="1" customFormat="false" ht="25.5" hidden="false" customHeight="true" outlineLevel="0" collapsed="false">
      <c r="A1" s="16" t="s">
        <v>134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6" hidden="false" customHeight="true" outlineLevel="0" collapsed="false"/>
    <row r="4" customFormat="false" ht="33.75" hidden="false" customHeight="true" outlineLevel="0" collapsed="false">
      <c r="A4" s="24" t="s">
        <v>135</v>
      </c>
      <c r="B4" s="24" t="s">
        <v>136</v>
      </c>
      <c r="C4" s="24" t="s">
        <v>137</v>
      </c>
      <c r="D4" s="24" t="s">
        <v>138</v>
      </c>
      <c r="E4" s="24" t="s">
        <v>139</v>
      </c>
      <c r="F4" s="24" t="s">
        <v>140</v>
      </c>
      <c r="G4" s="24" t="s">
        <v>141</v>
      </c>
      <c r="H4" s="24" t="s">
        <v>89</v>
      </c>
      <c r="I4" s="24" t="s">
        <v>142</v>
      </c>
      <c r="J4" s="24" t="s">
        <v>22</v>
      </c>
      <c r="K4" s="24" t="s">
        <v>143</v>
      </c>
    </row>
    <row r="5" customFormat="false" ht="23.85" hidden="false" customHeight="false" outlineLevel="0" collapsed="false">
      <c r="A5" s="26" t="s">
        <v>144</v>
      </c>
      <c r="B5" s="26" t="s">
        <v>145</v>
      </c>
      <c r="C5" s="26" t="s">
        <v>146</v>
      </c>
      <c r="D5" s="26" t="s">
        <v>147</v>
      </c>
      <c r="E5" s="26" t="s">
        <v>148</v>
      </c>
      <c r="F5" s="26" t="s">
        <v>149</v>
      </c>
      <c r="G5" s="29" t="n">
        <v>46478</v>
      </c>
      <c r="H5" s="26" t="s">
        <v>94</v>
      </c>
      <c r="I5" s="26" t="s">
        <v>150</v>
      </c>
      <c r="J5" s="26" t="s">
        <v>67</v>
      </c>
      <c r="K5" s="26"/>
    </row>
    <row r="6" customFormat="false" ht="15" hidden="false" customHeight="false" outlineLevel="0" collapsed="false">
      <c r="A6" s="30"/>
      <c r="B6" s="30"/>
      <c r="C6" s="30"/>
      <c r="D6" s="30"/>
      <c r="E6" s="30"/>
      <c r="F6" s="30"/>
      <c r="G6" s="32"/>
      <c r="H6" s="30"/>
      <c r="I6" s="30"/>
      <c r="J6" s="30"/>
      <c r="K6" s="30"/>
    </row>
    <row r="7" customFormat="false" ht="15" hidden="false" customHeight="false" outlineLevel="0" collapsed="false">
      <c r="A7" s="33"/>
      <c r="B7" s="33"/>
      <c r="C7" s="33"/>
      <c r="D7" s="33"/>
      <c r="E7" s="33"/>
      <c r="F7" s="33"/>
      <c r="G7" s="35"/>
      <c r="H7" s="33"/>
      <c r="I7" s="33"/>
      <c r="J7" s="33"/>
      <c r="K7" s="33"/>
    </row>
    <row r="8" customFormat="false" ht="15" hidden="false" customHeight="false" outlineLevel="0" collapsed="false">
      <c r="A8" s="30"/>
      <c r="B8" s="30"/>
      <c r="C8" s="30"/>
      <c r="D8" s="30"/>
      <c r="E8" s="30"/>
      <c r="F8" s="30"/>
      <c r="G8" s="32"/>
      <c r="H8" s="30"/>
      <c r="I8" s="30"/>
      <c r="J8" s="30"/>
      <c r="K8" s="30"/>
    </row>
    <row r="9" customFormat="false" ht="15" hidden="false" customHeight="false" outlineLevel="0" collapsed="false">
      <c r="A9" s="33"/>
      <c r="B9" s="33"/>
      <c r="C9" s="33"/>
      <c r="D9" s="33"/>
      <c r="E9" s="33"/>
      <c r="F9" s="33"/>
      <c r="G9" s="35"/>
      <c r="H9" s="33"/>
      <c r="I9" s="33"/>
      <c r="J9" s="33"/>
      <c r="K9" s="33"/>
    </row>
    <row r="10" customFormat="false" ht="15" hidden="false" customHeight="false" outlineLevel="0" collapsed="false">
      <c r="A10" s="30"/>
      <c r="B10" s="30"/>
      <c r="C10" s="30"/>
      <c r="D10" s="30"/>
      <c r="E10" s="30"/>
      <c r="F10" s="30"/>
      <c r="G10" s="32"/>
      <c r="H10" s="30"/>
      <c r="I10" s="30"/>
      <c r="J10" s="30"/>
      <c r="K10" s="30"/>
    </row>
    <row r="11" customFormat="false" ht="15" hidden="false" customHeight="false" outlineLevel="0" collapsed="false">
      <c r="A11" s="33"/>
      <c r="B11" s="33"/>
      <c r="C11" s="33"/>
      <c r="D11" s="33"/>
      <c r="E11" s="33"/>
      <c r="F11" s="33"/>
      <c r="G11" s="35"/>
      <c r="H11" s="33"/>
      <c r="I11" s="33"/>
      <c r="J11" s="33"/>
      <c r="K11" s="33"/>
    </row>
    <row r="12" customFormat="false" ht="15" hidden="false" customHeight="false" outlineLevel="0" collapsed="false">
      <c r="A12" s="30"/>
      <c r="B12" s="30"/>
      <c r="C12" s="30"/>
      <c r="D12" s="30"/>
      <c r="E12" s="30"/>
      <c r="F12" s="30"/>
      <c r="G12" s="32"/>
      <c r="H12" s="30"/>
      <c r="I12" s="30"/>
      <c r="J12" s="30"/>
      <c r="K12" s="30"/>
    </row>
    <row r="13" customFormat="false" ht="15" hidden="false" customHeight="false" outlineLevel="0" collapsed="false">
      <c r="A13" s="33"/>
      <c r="B13" s="33"/>
      <c r="C13" s="33"/>
      <c r="D13" s="33"/>
      <c r="E13" s="33"/>
      <c r="F13" s="33"/>
      <c r="G13" s="35"/>
      <c r="H13" s="33"/>
      <c r="I13" s="33"/>
      <c r="J13" s="33"/>
      <c r="K13" s="33"/>
    </row>
    <row r="14" customFormat="false" ht="15" hidden="false" customHeight="false" outlineLevel="0" collapsed="false">
      <c r="A14" s="30"/>
      <c r="B14" s="30"/>
      <c r="C14" s="30"/>
      <c r="D14" s="30"/>
      <c r="E14" s="30"/>
      <c r="F14" s="30"/>
      <c r="G14" s="32"/>
      <c r="H14" s="30"/>
      <c r="I14" s="30"/>
      <c r="J14" s="30"/>
      <c r="K14" s="30"/>
    </row>
    <row r="15" customFormat="false" ht="15" hidden="false" customHeight="false" outlineLevel="0" collapsed="false">
      <c r="A15" s="33"/>
      <c r="B15" s="33"/>
      <c r="C15" s="33"/>
      <c r="D15" s="33"/>
      <c r="E15" s="33"/>
      <c r="F15" s="33"/>
      <c r="G15" s="35"/>
      <c r="H15" s="33"/>
      <c r="I15" s="33"/>
      <c r="J15" s="33"/>
      <c r="K15" s="33"/>
    </row>
    <row r="16" customFormat="false" ht="15" hidden="false" customHeight="false" outlineLevel="0" collapsed="false">
      <c r="A16" s="30"/>
      <c r="B16" s="30"/>
      <c r="C16" s="30"/>
      <c r="D16" s="30"/>
      <c r="E16" s="30"/>
      <c r="F16" s="30"/>
      <c r="G16" s="32"/>
      <c r="H16" s="30"/>
      <c r="I16" s="30"/>
      <c r="J16" s="30"/>
      <c r="K16" s="30"/>
    </row>
    <row r="17" customFormat="false" ht="15" hidden="false" customHeight="false" outlineLevel="0" collapsed="false">
      <c r="A17" s="33"/>
      <c r="B17" s="33"/>
      <c r="C17" s="33"/>
      <c r="D17" s="33"/>
      <c r="E17" s="33"/>
      <c r="F17" s="33"/>
      <c r="G17" s="35"/>
      <c r="H17" s="33"/>
      <c r="I17" s="33"/>
      <c r="J17" s="33"/>
      <c r="K17" s="33"/>
    </row>
    <row r="18" customFormat="false" ht="15" hidden="false" customHeight="false" outlineLevel="0" collapsed="false">
      <c r="A18" s="30"/>
      <c r="B18" s="30"/>
      <c r="C18" s="30"/>
      <c r="D18" s="30"/>
      <c r="E18" s="30"/>
      <c r="F18" s="30"/>
      <c r="G18" s="32"/>
      <c r="H18" s="30"/>
      <c r="I18" s="30"/>
      <c r="J18" s="30"/>
      <c r="K18" s="30"/>
    </row>
    <row r="19" customFormat="false" ht="15" hidden="false" customHeight="false" outlineLevel="0" collapsed="false">
      <c r="A19" s="33"/>
      <c r="B19" s="33"/>
      <c r="C19" s="33"/>
      <c r="D19" s="33"/>
      <c r="E19" s="33"/>
      <c r="F19" s="33"/>
      <c r="G19" s="35"/>
      <c r="H19" s="33"/>
      <c r="I19" s="33"/>
      <c r="J19" s="33"/>
      <c r="K19" s="33"/>
    </row>
    <row r="20" customFormat="false" ht="15" hidden="false" customHeight="false" outlineLevel="0" collapsed="false">
      <c r="A20" s="30"/>
      <c r="B20" s="30"/>
      <c r="C20" s="30"/>
      <c r="D20" s="30"/>
      <c r="E20" s="30"/>
      <c r="F20" s="30"/>
      <c r="G20" s="32"/>
      <c r="H20" s="30"/>
      <c r="I20" s="30"/>
      <c r="J20" s="30"/>
      <c r="K20" s="30"/>
    </row>
    <row r="21" customFormat="false" ht="15" hidden="false" customHeight="false" outlineLevel="0" collapsed="false">
      <c r="A21" s="33"/>
      <c r="B21" s="33"/>
      <c r="C21" s="33"/>
      <c r="D21" s="33"/>
      <c r="E21" s="33"/>
      <c r="F21" s="33"/>
      <c r="G21" s="35"/>
      <c r="H21" s="33"/>
      <c r="I21" s="33"/>
      <c r="J21" s="33"/>
      <c r="K21" s="33"/>
    </row>
    <row r="22" customFormat="false" ht="15" hidden="false" customHeight="false" outlineLevel="0" collapsed="false">
      <c r="A22" s="30"/>
      <c r="B22" s="30"/>
      <c r="C22" s="30"/>
      <c r="D22" s="30"/>
      <c r="E22" s="30"/>
      <c r="F22" s="30"/>
      <c r="G22" s="32"/>
      <c r="H22" s="30"/>
      <c r="I22" s="30"/>
      <c r="J22" s="30"/>
      <c r="K22" s="30"/>
    </row>
    <row r="23" customFormat="false" ht="15" hidden="false" customHeight="false" outlineLevel="0" collapsed="false">
      <c r="A23" s="33"/>
      <c r="B23" s="33"/>
      <c r="C23" s="33"/>
      <c r="D23" s="33"/>
      <c r="E23" s="33"/>
      <c r="F23" s="33"/>
      <c r="G23" s="35"/>
      <c r="H23" s="33"/>
      <c r="I23" s="33"/>
      <c r="J23" s="33"/>
      <c r="K23" s="33"/>
    </row>
    <row r="24" customFormat="false" ht="15" hidden="false" customHeight="false" outlineLevel="0" collapsed="false">
      <c r="A24" s="30"/>
      <c r="B24" s="30"/>
      <c r="C24" s="30"/>
      <c r="D24" s="30"/>
      <c r="E24" s="30"/>
      <c r="F24" s="30"/>
      <c r="G24" s="32"/>
      <c r="H24" s="30"/>
      <c r="I24" s="30"/>
      <c r="J24" s="30"/>
      <c r="K24" s="30"/>
    </row>
    <row r="25" customFormat="false" ht="15" hidden="false" customHeight="false" outlineLevel="0" collapsed="false">
      <c r="A25" s="33"/>
      <c r="B25" s="33"/>
      <c r="C25" s="33"/>
      <c r="D25" s="33"/>
      <c r="E25" s="33"/>
      <c r="F25" s="33"/>
      <c r="G25" s="35"/>
      <c r="H25" s="33"/>
      <c r="I25" s="33"/>
      <c r="J25" s="33"/>
      <c r="K25" s="33"/>
    </row>
    <row r="26" customFormat="false" ht="15" hidden="false" customHeight="false" outlineLevel="0" collapsed="false">
      <c r="A26" s="30"/>
      <c r="B26" s="30"/>
      <c r="C26" s="30"/>
      <c r="D26" s="30"/>
      <c r="E26" s="30"/>
      <c r="F26" s="30"/>
      <c r="G26" s="32"/>
      <c r="H26" s="30"/>
      <c r="I26" s="30"/>
      <c r="J26" s="30"/>
      <c r="K26" s="30"/>
    </row>
    <row r="27" customFormat="false" ht="15" hidden="false" customHeight="false" outlineLevel="0" collapsed="false">
      <c r="A27" s="33"/>
      <c r="B27" s="33"/>
      <c r="C27" s="33"/>
      <c r="D27" s="33"/>
      <c r="E27" s="33"/>
      <c r="F27" s="33"/>
      <c r="G27" s="35"/>
      <c r="H27" s="33"/>
      <c r="I27" s="33"/>
      <c r="J27" s="33"/>
      <c r="K27" s="33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  <c r="G28" s="32"/>
      <c r="H28" s="30"/>
      <c r="I28" s="30"/>
      <c r="J28" s="30"/>
      <c r="K28" s="30"/>
    </row>
    <row r="29" customFormat="false" ht="15" hidden="false" customHeight="false" outlineLevel="0" collapsed="false">
      <c r="A29" s="33"/>
      <c r="B29" s="33"/>
      <c r="C29" s="33"/>
      <c r="D29" s="33"/>
      <c r="E29" s="33"/>
      <c r="F29" s="33"/>
      <c r="G29" s="35"/>
      <c r="H29" s="33"/>
      <c r="I29" s="33"/>
      <c r="J29" s="33"/>
      <c r="K29" s="33"/>
    </row>
    <row r="30" customFormat="false" ht="15" hidden="false" customHeight="false" outlineLevel="0" collapsed="false">
      <c r="A30" s="30"/>
      <c r="B30" s="30"/>
      <c r="C30" s="30"/>
      <c r="D30" s="30"/>
      <c r="E30" s="30"/>
      <c r="F30" s="30"/>
      <c r="G30" s="32"/>
      <c r="H30" s="30"/>
      <c r="I30" s="30"/>
      <c r="J30" s="30"/>
      <c r="K30" s="30"/>
    </row>
    <row r="31" customFormat="false" ht="15" hidden="false" customHeight="false" outlineLevel="0" collapsed="false">
      <c r="A31" s="33"/>
      <c r="B31" s="33"/>
      <c r="C31" s="33"/>
      <c r="D31" s="33"/>
      <c r="E31" s="33"/>
      <c r="F31" s="33"/>
      <c r="G31" s="35"/>
      <c r="H31" s="33"/>
      <c r="I31" s="33"/>
      <c r="J31" s="33"/>
      <c r="K31" s="33"/>
    </row>
    <row r="32" customFormat="false" ht="15" hidden="false" customHeight="false" outlineLevel="0" collapsed="false">
      <c r="A32" s="30"/>
      <c r="B32" s="30"/>
      <c r="C32" s="30"/>
      <c r="D32" s="30"/>
      <c r="E32" s="30"/>
      <c r="F32" s="30"/>
      <c r="G32" s="32"/>
      <c r="H32" s="30"/>
      <c r="I32" s="30"/>
      <c r="J32" s="30"/>
      <c r="K32" s="30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5"/>
      <c r="H33" s="33"/>
      <c r="I33" s="33"/>
      <c r="J33" s="33"/>
      <c r="K33" s="33"/>
    </row>
    <row r="34" customFormat="false" ht="15" hidden="false" customHeight="false" outlineLevel="0" collapsed="false">
      <c r="A34" s="30"/>
      <c r="B34" s="30"/>
      <c r="C34" s="30"/>
      <c r="D34" s="30"/>
      <c r="E34" s="30"/>
      <c r="F34" s="30"/>
      <c r="G34" s="32"/>
      <c r="H34" s="30"/>
      <c r="I34" s="30"/>
      <c r="J34" s="30"/>
      <c r="K34" s="30"/>
    </row>
    <row r="35" customFormat="false" ht="15" hidden="false" customHeight="false" outlineLevel="0" collapsed="false">
      <c r="A35" s="33"/>
      <c r="B35" s="33"/>
      <c r="C35" s="33"/>
      <c r="D35" s="33"/>
      <c r="E35" s="33"/>
      <c r="F35" s="33"/>
      <c r="G35" s="35"/>
      <c r="H35" s="33"/>
      <c r="I35" s="33"/>
      <c r="J35" s="33"/>
      <c r="K35" s="33"/>
    </row>
    <row r="36" customFormat="false" ht="15" hidden="false" customHeight="false" outlineLevel="0" collapsed="false">
      <c r="A36" s="30"/>
      <c r="B36" s="30"/>
      <c r="C36" s="30"/>
      <c r="D36" s="30"/>
      <c r="E36" s="30"/>
      <c r="F36" s="30"/>
      <c r="G36" s="32"/>
      <c r="H36" s="30"/>
      <c r="I36" s="30"/>
      <c r="J36" s="30"/>
      <c r="K36" s="30"/>
    </row>
    <row r="37" customFormat="false" ht="15" hidden="false" customHeight="false" outlineLevel="0" collapsed="false">
      <c r="A37" s="33"/>
      <c r="B37" s="33"/>
      <c r="C37" s="33"/>
      <c r="D37" s="33"/>
      <c r="E37" s="33"/>
      <c r="F37" s="33"/>
      <c r="G37" s="35"/>
      <c r="H37" s="33"/>
      <c r="I37" s="33"/>
      <c r="J37" s="33"/>
      <c r="K37" s="33"/>
    </row>
    <row r="38" customFormat="false" ht="15" hidden="false" customHeight="false" outlineLevel="0" collapsed="false">
      <c r="A38" s="30"/>
      <c r="B38" s="30"/>
      <c r="C38" s="30"/>
      <c r="D38" s="30"/>
      <c r="E38" s="30"/>
      <c r="F38" s="30"/>
      <c r="G38" s="32"/>
      <c r="H38" s="30"/>
      <c r="I38" s="30"/>
      <c r="J38" s="30"/>
      <c r="K38" s="30"/>
    </row>
    <row r="39" customFormat="false" ht="15" hidden="false" customHeight="false" outlineLevel="0" collapsed="false">
      <c r="A39" s="33"/>
      <c r="B39" s="33"/>
      <c r="C39" s="33"/>
      <c r="D39" s="33"/>
      <c r="E39" s="33"/>
      <c r="F39" s="33"/>
      <c r="G39" s="35"/>
      <c r="H39" s="33"/>
      <c r="I39" s="33"/>
      <c r="J39" s="33"/>
      <c r="K39" s="33"/>
    </row>
    <row r="40" customFormat="false" ht="15" hidden="false" customHeight="false" outlineLevel="0" collapsed="false">
      <c r="A40" s="30"/>
      <c r="B40" s="30"/>
      <c r="C40" s="30"/>
      <c r="D40" s="30"/>
      <c r="E40" s="30"/>
      <c r="F40" s="30"/>
      <c r="G40" s="32"/>
      <c r="H40" s="30"/>
      <c r="I40" s="30"/>
      <c r="J40" s="30"/>
      <c r="K40" s="30"/>
    </row>
    <row r="41" customFormat="false" ht="15" hidden="false" customHeight="false" outlineLevel="0" collapsed="false">
      <c r="A41" s="33"/>
      <c r="B41" s="33"/>
      <c r="C41" s="33"/>
      <c r="D41" s="33"/>
      <c r="E41" s="33"/>
      <c r="F41" s="33"/>
      <c r="G41" s="35"/>
      <c r="H41" s="33"/>
      <c r="I41" s="33"/>
      <c r="J41" s="33"/>
      <c r="K41" s="33"/>
    </row>
    <row r="42" customFormat="false" ht="15" hidden="false" customHeight="false" outlineLevel="0" collapsed="false">
      <c r="A42" s="30"/>
      <c r="B42" s="30"/>
      <c r="C42" s="30"/>
      <c r="D42" s="30"/>
      <c r="E42" s="30"/>
      <c r="F42" s="30"/>
      <c r="G42" s="32"/>
      <c r="H42" s="30"/>
      <c r="I42" s="30"/>
      <c r="J42" s="30"/>
      <c r="K42" s="30"/>
    </row>
    <row r="43" customFormat="false" ht="15" hidden="false" customHeight="false" outlineLevel="0" collapsed="false">
      <c r="A43" s="33"/>
      <c r="B43" s="33"/>
      <c r="C43" s="33"/>
      <c r="D43" s="33"/>
      <c r="E43" s="33"/>
      <c r="F43" s="33"/>
      <c r="G43" s="35"/>
      <c r="H43" s="33"/>
      <c r="I43" s="33"/>
      <c r="J43" s="33"/>
      <c r="K43" s="33"/>
    </row>
    <row r="44" customFormat="false" ht="15" hidden="false" customHeight="false" outlineLevel="0" collapsed="false">
      <c r="A44" s="30"/>
      <c r="B44" s="30"/>
      <c r="C44" s="30"/>
      <c r="D44" s="30"/>
      <c r="E44" s="30"/>
      <c r="F44" s="30"/>
      <c r="G44" s="32"/>
      <c r="H44" s="30"/>
      <c r="I44" s="30"/>
      <c r="J44" s="30"/>
      <c r="K44" s="30"/>
    </row>
  </sheetData>
  <autoFilter ref="A4:K44"/>
  <mergeCells count="2">
    <mergeCell ref="A1:K1"/>
    <mergeCell ref="A2:K2"/>
  </mergeCells>
  <conditionalFormatting sqref="I5:I44">
    <cfRule type="cellIs" priority="2" operator="equal" aboveAverage="0" equalAverage="0" bottom="0" percent="0" rank="0" text="" dxfId="14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7">
      <formula>"Red"</formula>
    </cfRule>
  </conditionalFormatting>
  <conditionalFormatting sqref="J5:J44">
    <cfRule type="cellIs" priority="5" operator="equal" aboveAverage="0" equalAverage="0" bottom="0" percent="0" rank="0" text="" dxfId="15">
      <formula>"Closed"</formula>
    </cfRule>
    <cfRule type="cellIs" priority="6" operator="equal" aboveAverage="0" equalAverage="0" bottom="0" percent="0" rank="0" text="" dxfId="16">
      <formula>"Open"</formula>
    </cfRule>
    <cfRule type="cellIs" priority="7" operator="equal" aboveAverage="0" equalAverage="0" bottom="0" percent="0" rank="0" text="" dxfId="13">
      <formula>"On hold"</formula>
    </cfRule>
  </conditionalFormatting>
  <dataValidations count="4">
    <dataValidation allowBlank="true" error="Please select a value from the list (toolkit controlled vocabulary)." errorStyle="stop" errorTitle="Invalid entry" operator="between" showDropDown="false" showErrorMessage="true" showInputMessage="false" sqref="C5:C44" type="list">
      <formula1>Lists!$H$2:$H$5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D5:D44" type="list">
      <formula1>Lists!$I$2:$I$3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I5:I44" type="list">
      <formula1>Lists!$J$2:$J$4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J5:J44" type="list">
      <formula1>Lists!$B$2:$B$5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7" t="s">
        <v>151</v>
      </c>
      <c r="B1" s="37" t="s">
        <v>152</v>
      </c>
      <c r="C1" s="37" t="s">
        <v>153</v>
      </c>
      <c r="D1" s="37" t="s">
        <v>154</v>
      </c>
      <c r="E1" s="37" t="s">
        <v>155</v>
      </c>
      <c r="F1" s="37" t="s">
        <v>115</v>
      </c>
      <c r="G1" s="37" t="s">
        <v>156</v>
      </c>
      <c r="H1" s="37" t="s">
        <v>157</v>
      </c>
      <c r="I1" s="37" t="s">
        <v>158</v>
      </c>
      <c r="J1" s="37" t="s">
        <v>159</v>
      </c>
    </row>
    <row r="2" customFormat="false" ht="15" hidden="false" customHeight="false" outlineLevel="0" collapsed="false">
      <c r="A2" s="0" t="n">
        <v>1</v>
      </c>
      <c r="B2" s="0" t="s">
        <v>67</v>
      </c>
      <c r="C2" s="0" t="s">
        <v>106</v>
      </c>
      <c r="D2" s="0" t="s">
        <v>110</v>
      </c>
      <c r="E2" s="0" t="s">
        <v>160</v>
      </c>
      <c r="F2" s="0" t="s">
        <v>77</v>
      </c>
      <c r="G2" s="0" t="s">
        <v>132</v>
      </c>
      <c r="H2" s="0" t="s">
        <v>33</v>
      </c>
      <c r="I2" s="0" t="s">
        <v>147</v>
      </c>
      <c r="J2" s="0" t="s">
        <v>150</v>
      </c>
    </row>
    <row r="3" customFormat="false" ht="15" hidden="false" customHeight="false" outlineLevel="0" collapsed="false">
      <c r="A3" s="0" t="n">
        <v>2</v>
      </c>
      <c r="B3" s="0" t="s">
        <v>68</v>
      </c>
      <c r="C3" s="0" t="s">
        <v>127</v>
      </c>
      <c r="D3" s="0" t="s">
        <v>161</v>
      </c>
      <c r="E3" s="0" t="s">
        <v>162</v>
      </c>
      <c r="F3" s="0" t="s">
        <v>78</v>
      </c>
      <c r="G3" s="0" t="s">
        <v>163</v>
      </c>
      <c r="H3" s="0" t="s">
        <v>146</v>
      </c>
      <c r="I3" s="0" t="s">
        <v>164</v>
      </c>
      <c r="J3" s="0" t="s">
        <v>165</v>
      </c>
    </row>
    <row r="4" customFormat="false" ht="15" hidden="false" customHeight="false" outlineLevel="0" collapsed="false">
      <c r="A4" s="0" t="n">
        <v>3</v>
      </c>
      <c r="B4" s="0" t="s">
        <v>69</v>
      </c>
      <c r="C4" s="0" t="s">
        <v>166</v>
      </c>
      <c r="D4" s="0" t="s">
        <v>167</v>
      </c>
      <c r="E4" s="0" t="s">
        <v>168</v>
      </c>
      <c r="F4" s="0" t="s">
        <v>79</v>
      </c>
      <c r="G4" s="0" t="s">
        <v>169</v>
      </c>
      <c r="H4" s="0" t="s">
        <v>170</v>
      </c>
      <c r="J4" s="0" t="s">
        <v>171</v>
      </c>
    </row>
    <row r="5" customFormat="false" ht="15" hidden="false" customHeight="false" outlineLevel="0" collapsed="false">
      <c r="A5" s="0" t="n">
        <v>4</v>
      </c>
      <c r="B5" s="0" t="s">
        <v>70</v>
      </c>
      <c r="C5" s="0" t="s">
        <v>162</v>
      </c>
      <c r="E5" s="0" t="s">
        <v>172</v>
      </c>
      <c r="F5" s="0" t="s">
        <v>80</v>
      </c>
      <c r="H5" s="0" t="s">
        <v>173</v>
      </c>
    </row>
    <row r="6" customFormat="false" ht="15" hidden="false" customHeight="false" outlineLevel="0" collapsed="false">
      <c r="A6" s="0" t="n">
        <v>5</v>
      </c>
      <c r="C6" s="0" t="s">
        <v>146</v>
      </c>
      <c r="E6" s="0" t="s">
        <v>106</v>
      </c>
    </row>
    <row r="7" customFormat="false" ht="15" hidden="false" customHeight="false" outlineLevel="0" collapsed="false">
      <c r="A7" s="0" t="n">
        <v>6</v>
      </c>
      <c r="C7" s="0" t="s">
        <v>174</v>
      </c>
      <c r="E7" s="0" t="s">
        <v>175</v>
      </c>
    </row>
    <row r="8" customFormat="false" ht="15" hidden="false" customHeight="false" outlineLevel="0" collapsed="false">
      <c r="A8" s="0" t="n">
        <v>8</v>
      </c>
      <c r="E8" s="0" t="s">
        <v>127</v>
      </c>
    </row>
    <row r="9" customFormat="false" ht="15" hidden="false" customHeight="false" outlineLevel="0" collapsed="false">
      <c r="A9" s="0" t="n">
        <v>9</v>
      </c>
      <c r="E9" s="0" t="s">
        <v>176</v>
      </c>
    </row>
    <row r="10" customFormat="false" ht="15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12</v>
      </c>
    </row>
    <row r="12" customFormat="false" ht="15" hidden="false" customHeight="false" outlineLevel="0" collapsed="false">
      <c r="A12" s="0" t="n">
        <v>15</v>
      </c>
    </row>
    <row r="13" customFormat="false" ht="15" hidden="false" customHeight="false" outlineLevel="0" collapsed="false">
      <c r="A13" s="0" t="n">
        <v>16</v>
      </c>
    </row>
    <row r="14" customFormat="false" ht="15" hidden="false" customHeight="false" outlineLevel="0" collapsed="false">
      <c r="A14" s="0" t="n">
        <v>20</v>
      </c>
    </row>
    <row r="15" customFormat="false" ht="15" hidden="false" customHeight="false" outlineLevel="0" collapsed="false">
      <c r="A15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2026-10-28T04:09:02Z</dcterms:created>
  <dc:creator>[Project Manager]</dc:creator>
  <dc:description/>
  <cp:keywords>PRJ-2026-001-RAID PMBOK 8</cp:keywords>
  <dc:language>en-US</dc:language>
  <cp:lastModifiedBy/>
  <dcterms:modified xsi:type="dcterms:W3CDTF">2026-10-27T22:09:13Z</dcterms:modified>
  <cp:revision>1</cp:revision>
  <dc:subject>[Project Name]</dc:subject>
  <dc:title>19 - RAID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