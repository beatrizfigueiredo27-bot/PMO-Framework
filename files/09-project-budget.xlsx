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ash Flow &amp; EVM" sheetId="3" state="visible" r:id="rId5"/>
    <sheet name="Assumptions" sheetId="4" state="visible" r:id="rId6"/>
    <sheet name="Cost Estimate" sheetId="5" state="visible" r:id="rId7"/>
    <sheet name="Lists" sheetId="6" state="hidden" r:id="rId8"/>
  </sheets>
  <definedNames>
    <definedName function="false" hidden="false" localSheetId="4" name="_xlnm.Print_Titles" vbProcedure="false">'Cost Estimate'!$4:$4</definedName>
    <definedName function="false" hidden="true" localSheetId="4" name="_xlnm._FilterDatabase" vbProcedure="false">'Cost Estimate'!$A$4:$S$84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<sst xmlns="http://schemas.openxmlformats.org/spreadsheetml/2006/main" count="204" uniqueCount="166">
  <si>
    <t xml:space="preserve">[ORGANIZATION NAME]</t>
  </si>
  <si>
    <t xml:space="preserve">09 — Project Budget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</si>
  <si>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</si>
  <si>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</si>
  <si>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</si>
  <si>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</si>
  <si>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</si>
  <si>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Finance</t>
  </si>
  <si>
    <t xml:space="preserve">Project ID</t>
  </si>
  <si>
    <t xml:space="preserve">PRJ-2026-001</t>
  </si>
  <si>
    <t xml:space="preserve">Focus area(s)</t>
  </si>
  <si>
    <t xml:space="preserve">Planning, Monitoring &amp; Controlling</t>
  </si>
  <si>
    <t xml:space="preserve">Document ID</t>
  </si>
  <si>
    <t xml:space="preserve">PRJ-2026-001-BUD</t>
  </si>
  <si>
    <t xml:space="preserve">Toolkit</t>
  </si>
  <si>
    <t xml:space="preserve">PMI Predictive Project Management Toolkit</t>
  </si>
  <si>
    <t xml:space="preserve">Document title</t>
  </si>
  <si>
    <t xml:space="preserve">Project Budget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</si>
  <si>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</si>
  <si>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</si>
  <si>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</si>
  <si>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</si>
  <si>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</si>
  <si>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</si>
  <si>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</si>
  <si>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</si>
  <si>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</si>
  <si>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</si>
  <si>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</si>
  <si>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</si>
  <si>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</si>
  <si>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Sponsor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</si>
  <si>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</si>
  <si>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</si>
  <si>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</si>
  <si>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</si>
  <si>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</si>
  <si>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</si>
  <si>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</si>
  <si>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</si>
  <si>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</si>
  <si>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</si>
  <si>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</si>
  <si>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</si>
  <si>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</si>
  <si>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</si>
  <si>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</si>
  <si>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</si>
  <si>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</si>
  <si>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</si>
  <si>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</si>
  <si>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</si>
  <si>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</si>
  <si>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</si>
  <si>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</si>
  <si>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</si>
  <si>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</si>
  <si>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</si>
  <si>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Set labour rates and reserve percentages on the Assumptions sheet (amber cells).</t>
  </si>
  <si>
    <t xml:space="preserve">2. Build the bottom-up estimate on the Cost Estimate sheet by WBS work package; totals roll up to the Summary.</t>
  </si>
  <si>
    <t xml:space="preserve">3. Enter monthly Planned Value, Earned Value and Actual Cost on Cash Flow &amp; EVM; set the status month to obtain CPI, SPI, EAC and the S-curve.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</si>
  <si>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</si>
  <si>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</si>
  <si>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</si>
  <si>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09 — Project Budget  |  Budget Summary</t>
  </si>
  <si>
    <t xml:space="preserve">[Project Name]   •   PRJ-2026-001-BUD   •   v0.1 Draft   •   Internal</t>
  </si>
  <si>
    <t xml:space="preserve">Category</t>
  </si>
  <si>
    <t xml:space="preserve">Base estimate</t>
  </si>
  <si>
    <t xml:space="preserve">Contingency</t>
  </si>
  <si>
    <t xml:space="preserve">Budget</t>
  </si>
  <si>
    <t xml:space="preserve">Actual to date</t>
  </si>
  <si>
    <t xml:space="preserve">EAC</t>
  </si>
  <si>
    <t xml:space="preserve">Variance</t>
  </si>
  <si>
    <t xml:space="preserve">Labour</t>
  </si>
  <si>
    <t xml:space="preserve">Contractors / Services</t>
  </si>
  <si>
    <t xml:space="preserve">Hardware / Equipment</t>
  </si>
  <si>
    <t xml:space="preserve">Software / Licences</t>
  </si>
  <si>
    <t xml:space="preserve">Materials</t>
  </si>
  <si>
    <t xml:space="preserve">Travel</t>
  </si>
  <si>
    <t xml:space="preserve">Training</t>
  </si>
  <si>
    <t xml:space="preserve">Facilities</t>
  </si>
  <si>
    <t xml:space="preserve">Other</t>
  </si>
  <si>
    <t xml:space="preserve">Cost baseline (incl. contingency)</t>
  </si>
  <si>
    <t xml:space="preserve">Management reserve</t>
  </si>
  <si>
    <t xml:space="preserve">TOTAL PROJECT BUDGET</t>
  </si>
  <si>
    <t xml:space="preserve">Uncategorized lines (check)</t>
  </si>
  <si>
    <t xml:space="preserve">09 — Project Budget  |  Time-phased Budget, Earned Value &amp; S-Curve</t>
  </si>
  <si>
    <t xml:space="preserve">Month</t>
  </si>
  <si>
    <t xml:space="preserve">Total</t>
  </si>
  <si>
    <t xml:space="preserve">Planned Value (PV) – monthly</t>
  </si>
  <si>
    <t xml:space="preserve">Earned Value (EV) – monthly</t>
  </si>
  <si>
    <t xml:space="preserve">Actual Cost (AC) – monthly</t>
  </si>
  <si>
    <t xml:space="preserve">Cumulative PV</t>
  </si>
  <si>
    <t xml:space="preserve">Cumulative EV</t>
  </si>
  <si>
    <t xml:space="preserve">Cumulative AC</t>
  </si>
  <si>
    <t xml:space="preserve">PV total vs cost baseline (should be 0)</t>
  </si>
  <si>
    <t xml:space="preserve">EARNED VALUE STATUS</t>
  </si>
  <si>
    <t xml:space="preserve">Status month (select from row 4)</t>
  </si>
  <si>
    <t xml:space="preserve">BAC (cost baseline)</t>
  </si>
  <si>
    <t xml:space="preserve">PV (planned value to date)</t>
  </si>
  <si>
    <t xml:space="preserve">EV (earned value to date)</t>
  </si>
  <si>
    <t xml:space="preserve">AC (actual cost to date)</t>
  </si>
  <si>
    <t xml:space="preserve">CV = EV − AC</t>
  </si>
  <si>
    <t xml:space="preserve">SV = EV − PV</t>
  </si>
  <si>
    <t xml:space="preserve">CPI = EV / AC</t>
  </si>
  <si>
    <t xml:space="preserve">SPI = EV / PV</t>
  </si>
  <si>
    <t xml:space="preserve">EAC = BAC / CPI</t>
  </si>
  <si>
    <t xml:space="preserve">ETC = EAC − AC</t>
  </si>
  <si>
    <t xml:space="preserve">VAC = BAC − EAC</t>
  </si>
  <si>
    <t xml:space="preserve">TCPI = (BAC−EV)/(BAC−AC)</t>
  </si>
  <si>
    <t xml:space="preserve">Cost status (RAG)</t>
  </si>
  <si>
    <t xml:space="preserve">Schedule status (RAG)</t>
  </si>
  <si>
    <t xml:space="preserve">09 — Project Budget  |  Assumptions &amp; Rates</t>
  </si>
  <si>
    <t xml:space="preserve">Parameter</t>
  </si>
  <si>
    <t xml:space="preserve">Value</t>
  </si>
  <si>
    <t xml:space="preserve">Role / resource</t>
  </si>
  <si>
    <t xml:space="preserve">Rate / h (CAD)</t>
  </si>
  <si>
    <t xml:space="preserve">Project Manager</t>
  </si>
  <si>
    <t xml:space="preserve">Contingency reserve % (default)</t>
  </si>
  <si>
    <t xml:space="preserve">Business Analyst</t>
  </si>
  <si>
    <t xml:space="preserve">Management reserve % of cost baseline</t>
  </si>
  <si>
    <t xml:space="preserve">Technical Lead</t>
  </si>
  <si>
    <t xml:space="preserve">Hours per working day</t>
  </si>
  <si>
    <t xml:space="preserve">Developer / Engineer</t>
  </si>
  <si>
    <t xml:space="preserve">Estimate class</t>
  </si>
  <si>
    <t xml:space="preserve">Definitive (-5% / +10%)</t>
  </si>
  <si>
    <t xml:space="preserve">QA / Tester</t>
  </si>
  <si>
    <t xml:space="preserve">Change / Training Lead</t>
  </si>
  <si>
    <t xml:space="preserve">Subject-Matter Expert</t>
  </si>
  <si>
    <t xml:space="preserve">[Role]</t>
  </si>
  <si>
    <t xml:space="preserve">09 — Project Budget  |  Cost Estimate</t>
  </si>
  <si>
    <t xml:space="preserve">WBS ID</t>
  </si>
  <si>
    <t xml:space="preserve">Control account</t>
  </si>
  <si>
    <t xml:space="preserve">Cost item / description</t>
  </si>
  <si>
    <t xml:space="preserve">Role (labour only)</t>
  </si>
  <si>
    <t xml:space="preserve">Qty / hours</t>
  </si>
  <si>
    <t xml:space="preserve">Unit</t>
  </si>
  <si>
    <t xml:space="preserve">Unit rate (CAD)</t>
  </si>
  <si>
    <t xml:space="preserve">ƒ Rate used</t>
  </si>
  <si>
    <t xml:space="preserve">ƒ Base estimate</t>
  </si>
  <si>
    <t xml:space="preserve">Contingency %</t>
  </si>
  <si>
    <t xml:space="preserve">ƒ Contingency</t>
  </si>
  <si>
    <t xml:space="preserve">ƒ Budget (BAC line)</t>
  </si>
  <si>
    <t xml:space="preserve">Committed (PO)</t>
  </si>
  <si>
    <t xml:space="preserve">ETC</t>
  </si>
  <si>
    <t xml:space="preserve">ƒ EAC</t>
  </si>
  <si>
    <t xml:space="preserve">ƒ Variance (BAC-EAC)</t>
  </si>
  <si>
    <t xml:space="preserve">ƒ Var. %</t>
  </si>
  <si>
    <t xml:space="preserve">1.1.2</t>
  </si>
  <si>
    <t xml:space="preserve">CA-1100</t>
  </si>
  <si>
    <t xml:space="preserve">Project management – planning phase</t>
  </si>
  <si>
    <t xml:space="preserve">h</t>
  </si>
  <si>
    <t xml:space="preserve">1.2.1</t>
  </si>
  <si>
    <t xml:space="preserve">CA-1200</t>
  </si>
  <si>
    <t xml:space="preserve">Current-state assessment</t>
  </si>
  <si>
    <t xml:space="preserve">1.4.1</t>
  </si>
  <si>
    <t xml:space="preserve">CA-1400</t>
  </si>
  <si>
    <t xml:space="preserve">Software licences – year 1</t>
  </si>
  <si>
    <t xml:space="preserve">user</t>
  </si>
  <si>
    <t xml:space="preserve">1.6.1</t>
  </si>
  <si>
    <t xml:space="preserve">CA-1600</t>
  </si>
  <si>
    <t xml:space="preserve">End-user training delivery</t>
  </si>
  <si>
    <t xml:space="preserve">session</t>
  </si>
  <si>
    <t xml:space="preserve">TOTAL</t>
  </si>
  <si>
    <t xml:space="preserve">CostCat</t>
  </si>
  <si>
    <t xml:space="preserve">Roles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</si>
</sst>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(#,##0\);\-"/>
    <numFmt numFmtId="166" formatCode="mmm\-yy"/>
    <numFmt numFmtId="167" formatCode="0.00"/>
    <numFmt numFmtId="168" formatCode="#,##0"/>
    <numFmt numFmtId="169" formatCode="0.0%"/>
    <numFmt numFmtId="170" formatCode="0"/>
    <numFmt numFmtId="171" formatCode="#,##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10"/>
      <color rgb="FF1E2A3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  <font>
      <b val="true"/>
      <sz val="9.5"/>
      <color rgb="FF1E2A3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D5EFDF"/>
      </patternFill>
    </fill>
    <fill>
      <patternFill patternType="solid">
        <fgColor rgb="FFF3F6F9"/>
        <bgColor rgb="FFF9F9F9"/>
      </patternFill>
    </fill>
    <fill>
      <patternFill patternType="solid">
        <fgColor rgb="FFEAF2F2"/>
        <bgColor rgb="FFF3F6F9"/>
      </patternFill>
    </fill>
    <fill>
      <patternFill patternType="solid">
        <fgColor rgb="FF13807E"/>
        <bgColor rgb="FF008080"/>
      </patternFill>
    </fill>
    <fill>
      <patternFill patternType="solid">
        <fgColor rgb="FFFCEFC7"/>
        <bgColor rgb="FFEA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2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2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24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5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23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23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23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ont>
        <name val="Calibri"/>
        <charset val="1"/>
        <family val="0"/>
        <b val="1"/>
        <color rgb="FF8A6200"/>
      </font>
      <fill>
        <patternFill>
          <bgColor rgb="FFFCEFC7"/>
        </patternFill>
      </fill>
    </dxf>
    <dxf>
      <font>
        <name val="Calibri"/>
        <charset val="1"/>
        <family val="0"/>
        <b val="1"/>
        <color rgb="FFC0392B"/>
      </font>
      <fill>
        <patternFill>
          <bgColor rgb="FFF6D5D1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ill>
        <patternFill>
          <bgColor rgb="FFFCEF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200"/>
      <rgbColor rgb="FF800080"/>
      <rgbColor rgb="FF13807E"/>
      <rgbColor rgb="FFB8C4D0"/>
      <rgbColor rgb="FF878787"/>
      <rgbColor rgb="FF9999FF"/>
      <rgbColor rgb="FF9D3E3B"/>
      <rgbColor rgb="FFFCEFC7"/>
      <rgbColor rgb="FFEA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9F9F9"/>
      <rgbColor rgb="FF9FD3D1"/>
      <rgbColor rgb="FFD4A5A4"/>
      <rgbColor rgb="FFF3F6F9"/>
      <rgbColor rgb="FFF6D5D1"/>
      <rgbColor rgb="FF4F81BD"/>
      <rgbColor rgb="FF33CCCC"/>
      <rgbColor rgb="FF99CC00"/>
      <rgbColor rgb="FFFFCC00"/>
      <rgbColor rgb="FFFF9900"/>
      <rgbColor rgb="FFC0504D"/>
      <rgbColor rgb="FF6B7785"/>
      <rgbColor rgb="FF969696"/>
      <rgbColor rgb="FF1F3A5F"/>
      <rgbColor rgb="FF2E8B57"/>
      <rgbColor rgb="FF003300"/>
      <rgbColor rgb="FF333300"/>
      <rgbColor rgb="FFC0392B"/>
      <rgbColor rgb="FFBE4B48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EAC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Summary!D4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Summary!$A$5:$A$13</c:f>
              <c:strCache>
                <c:ptCount val="9"/>
                <c:pt idx="0">
                  <c:v>Labour</c:v>
                </c:pt>
                <c:pt idx="1">
                  <c:v>Contractors / Services</c:v>
                </c:pt>
                <c:pt idx="2">
                  <c:v>Hardware / Equipment</c:v>
                </c:pt>
                <c:pt idx="3">
                  <c:v>Software / Licences</c:v>
                </c:pt>
                <c:pt idx="4">
                  <c:v>Materials</c:v>
                </c:pt>
                <c:pt idx="5">
                  <c:v>Travel</c:v>
                </c:pt>
                <c:pt idx="6">
                  <c:v>Training</c:v>
                </c:pt>
                <c:pt idx="7">
                  <c:v>Facilities</c:v>
                </c:pt>
                <c:pt idx="8">
                  <c:v>Other</c:v>
                </c:pt>
              </c:strCache>
            </c:strRef>
          </c:cat>
          <c:val>
            <c:numRef>
              <c:f>Summary!$D$5:$D$13</c:f>
              <c:numCache>
                <c:formatCode>#,##0;[RED]\(#,##0\);\-</c:formatCode>
                <c:ptCount val="9"/>
                <c:pt idx="0">
                  <c:v>33660</c:v>
                </c:pt>
                <c:pt idx="1">
                  <c:v>0</c:v>
                </c:pt>
                <c:pt idx="2">
                  <c:v>0</c:v>
                </c:pt>
                <c:pt idx="3">
                  <c:v>16500</c:v>
                </c:pt>
                <c:pt idx="4">
                  <c:v>0</c:v>
                </c:pt>
                <c:pt idx="5">
                  <c:v>0</c:v>
                </c:pt>
                <c:pt idx="6">
                  <c:v>11000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Summary!F4</c:f>
              <c:strCache>
                <c:ptCount val="1"/>
                <c:pt idx="0">
                  <c:v>EAC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Summary!$A$5:$A$13</c:f>
              <c:strCache>
                <c:ptCount val="9"/>
                <c:pt idx="0">
                  <c:v>Labour</c:v>
                </c:pt>
                <c:pt idx="1">
                  <c:v>Contractors / Services</c:v>
                </c:pt>
                <c:pt idx="2">
                  <c:v>Hardware / Equipment</c:v>
                </c:pt>
                <c:pt idx="3">
                  <c:v>Software / Licences</c:v>
                </c:pt>
                <c:pt idx="4">
                  <c:v>Materials</c:v>
                </c:pt>
                <c:pt idx="5">
                  <c:v>Travel</c:v>
                </c:pt>
                <c:pt idx="6">
                  <c:v>Training</c:v>
                </c:pt>
                <c:pt idx="7">
                  <c:v>Facilities</c:v>
                </c:pt>
                <c:pt idx="8">
                  <c:v>Other</c:v>
                </c:pt>
              </c:strCache>
            </c:strRef>
          </c:cat>
          <c:val>
            <c:numRef>
              <c:f>Summary!$F$5:$F$13</c:f>
              <c:numCache>
                <c:formatCode>#,##0;[RED]\(#,##0\);\-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31238753"/>
        <c:axId val="31544185"/>
      </c:barChart>
      <c:catAx>
        <c:axId val="31238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44185"/>
        <c:crosses val="autoZero"/>
        <c:auto val="1"/>
        <c:lblAlgn val="ctr"/>
        <c:lblOffset val="100"/>
        <c:noMultiLvlLbl val="0"/>
      </c:catAx>
      <c:valAx>
        <c:axId val="31544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38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S-Curve: cumulative PV, EV, AC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'Cash Flow &amp; EVM'!A8</c:f>
              <c:strCache>
                <c:ptCount val="1"/>
                <c:pt idx="0">
                  <c:v>Cumulative PV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EVM'!$B$4:$M$4</c:f>
              <c:strCache>
                <c:ptCount val="12"/>
                <c:pt idx="0">
                  <c:v>Nov-26</c:v>
                </c:pt>
                <c:pt idx="1">
                  <c:v>Dec-26</c:v>
                </c:pt>
                <c:pt idx="2">
                  <c:v>Jan-27</c:v>
                </c:pt>
                <c:pt idx="3">
                  <c:v>Feb-27</c:v>
                </c:pt>
                <c:pt idx="4">
                  <c:v>Mar-27</c:v>
                </c:pt>
                <c:pt idx="5">
                  <c:v>Apr-27</c:v>
                </c:pt>
                <c:pt idx="6">
                  <c:v>May-27</c:v>
                </c:pt>
                <c:pt idx="7">
                  <c:v>Jun-27</c:v>
                </c:pt>
                <c:pt idx="8">
                  <c:v>Jul-27</c:v>
                </c:pt>
                <c:pt idx="9">
                  <c:v>Aug-27</c:v>
                </c:pt>
                <c:pt idx="10">
                  <c:v>Sep-27</c:v>
                </c:pt>
                <c:pt idx="11">
                  <c:v>Oct-27</c:v>
                </c:pt>
              </c:strCache>
            </c:strRef>
          </c:cat>
          <c:val>
            <c:numRef>
              <c:f>'Cash Flow &amp; EVM'!$B$8:$M$8</c:f>
              <c:numCache>
                <c:formatCode>#,##0;[RED]\(#,##0\);\-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'Cash Flow &amp; EVM'!A9</c:f>
              <c:strCache>
                <c:ptCount val="1"/>
                <c:pt idx="0">
                  <c:v>Cumulative EV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EVM'!$B$4:$M$4</c:f>
              <c:strCache>
                <c:ptCount val="12"/>
                <c:pt idx="0">
                  <c:v>Nov-26</c:v>
                </c:pt>
                <c:pt idx="1">
                  <c:v>Dec-26</c:v>
                </c:pt>
                <c:pt idx="2">
                  <c:v>Jan-27</c:v>
                </c:pt>
                <c:pt idx="3">
                  <c:v>Feb-27</c:v>
                </c:pt>
                <c:pt idx="4">
                  <c:v>Mar-27</c:v>
                </c:pt>
                <c:pt idx="5">
                  <c:v>Apr-27</c:v>
                </c:pt>
                <c:pt idx="6">
                  <c:v>May-27</c:v>
                </c:pt>
                <c:pt idx="7">
                  <c:v>Jun-27</c:v>
                </c:pt>
                <c:pt idx="8">
                  <c:v>Jul-27</c:v>
                </c:pt>
                <c:pt idx="9">
                  <c:v>Aug-27</c:v>
                </c:pt>
                <c:pt idx="10">
                  <c:v>Sep-27</c:v>
                </c:pt>
                <c:pt idx="11">
                  <c:v>Oct-27</c:v>
                </c:pt>
              </c:strCache>
            </c:strRef>
          </c:cat>
          <c:val>
            <c:numRef>
              <c:f>'Cash Flow &amp; EVM'!$B$9:$M$9</c:f>
              <c:numCache>
                <c:formatCode>#,##0;[RED]\(#,##0\);\-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'Cash Flow &amp; EVM'!A10</c:f>
              <c:strCache>
                <c:ptCount val="1"/>
                <c:pt idx="0">
                  <c:v>Cumulative AC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EVM'!$B$4:$M$4</c:f>
              <c:strCache>
                <c:ptCount val="12"/>
                <c:pt idx="0">
                  <c:v>Nov-26</c:v>
                </c:pt>
                <c:pt idx="1">
                  <c:v>Dec-26</c:v>
                </c:pt>
                <c:pt idx="2">
                  <c:v>Jan-27</c:v>
                </c:pt>
                <c:pt idx="3">
                  <c:v>Feb-27</c:v>
                </c:pt>
                <c:pt idx="4">
                  <c:v>Mar-27</c:v>
                </c:pt>
                <c:pt idx="5">
                  <c:v>Apr-27</c:v>
                </c:pt>
                <c:pt idx="6">
                  <c:v>May-27</c:v>
                </c:pt>
                <c:pt idx="7">
                  <c:v>Jun-27</c:v>
                </c:pt>
                <c:pt idx="8">
                  <c:v>Jul-27</c:v>
                </c:pt>
                <c:pt idx="9">
                  <c:v>Aug-27</c:v>
                </c:pt>
                <c:pt idx="10">
                  <c:v>Sep-27</c:v>
                </c:pt>
                <c:pt idx="11">
                  <c:v>Oct-27</c:v>
                </c:pt>
              </c:strCache>
            </c:strRef>
          </c:cat>
          <c:val>
            <c:numRef>
              <c:f>'Cash Flow &amp; EVM'!$B$10:$M$10</c:f>
              <c:numCache>
                <c:formatCode>#,##0;[RED]\(#,##0\);\-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805647"/>
        <c:axId val="19933170"/>
      </c:lineChart>
      <c:catAx>
        <c:axId val="5080564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33170"/>
        <c:crosses val="autoZero"/>
        <c:auto val="1"/>
        <c:lblAlgn val="ctr"/>
        <c:lblOffset val="100"/>
        <c:noMultiLvlLbl val="0"/>
      </c:catAx>
      <c:valAx>
        <c:axId val="19933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056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4</xdr:col>
      <xdr:colOff>614160</xdr:colOff>
      <xdr:row>34</xdr:row>
      <xdr:rowOff>22320</xdr:rowOff>
    </xdr:to>
    <xdr:graphicFrame>
      <xdr:nvGraphicFramePr>
        <xdr:cNvPr id="0" name="Chart 1"/>
        <xdr:cNvGraphicFramePr/>
      </xdr:nvGraphicFramePr>
      <xdr:xfrm>
        <a:off x="0" y="36482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0</xdr:rowOff>
    </xdr:from>
    <xdr:to>
      <xdr:col>11</xdr:col>
      <xdr:colOff>712440</xdr:colOff>
      <xdr:row>29</xdr:row>
      <xdr:rowOff>1080</xdr:rowOff>
    </xdr:to>
    <xdr:graphicFrame>
      <xdr:nvGraphicFramePr>
        <xdr:cNvPr id="1" name="Chart 1"/>
        <xdr:cNvGraphicFramePr/>
      </xdr:nvGraphicFramePr>
      <xdr:xfrm>
        <a:off x="3736440" y="2314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5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  <c r="F1" s="16"/>
      <c r="G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</row>
    <row r="3" customFormat="false" ht="6" hidden="false" customHeight="true" outlineLevel="0" collapsed="false"/>
    <row r="4" customFormat="false" ht="15" hidden="false" customHeight="false" outlineLevel="0" collapsed="false">
      <c r="A4" s="18" t="s">
        <v>66</v>
      </c>
      <c r="B4" s="18" t="s">
        <v>67</v>
      </c>
      <c r="C4" s="18" t="s">
        <v>68</v>
      </c>
      <c r="D4" s="18" t="s">
        <v>69</v>
      </c>
      <c r="E4" s="18" t="s">
        <v>70</v>
      </c>
      <c r="F4" s="18" t="s">
        <v>71</v>
      </c>
      <c r="G4" s="18" t="s">
        <v>72</v>
      </c>
    </row>
    <row r="5" customFormat="false" ht="15" hidden="false" customHeight="false" outlineLevel="0" collapsed="false">
      <c r="A5" s="19" t="s">
        <v>73</v>
      </c>
      <c r="B5" s="20" t="n">
        <f aca="false">SUMIF('Cost Estimate'!$D$5:$D$84,$A5,'Cost Estimate'!$J$5:$J$84)</f>
        <v>30600</v>
      </c>
      <c r="C5" s="20" t="n">
        <f aca="false">SUMIF('Cost Estimate'!$D$5:$D$84,$A5,'Cost Estimate'!$L$5:$L$84)</f>
        <v>3060</v>
      </c>
      <c r="D5" s="20" t="n">
        <f aca="false">SUMIF('Cost Estimate'!$D$5:$D$84,$A5,'Cost Estimate'!$M$5:$M$84)</f>
        <v>33660</v>
      </c>
      <c r="E5" s="20" t="n">
        <f aca="false">SUMIF('Cost Estimate'!$D$5:$D$84,$A5,'Cost Estimate'!$O$5:$O$84)</f>
        <v>0</v>
      </c>
      <c r="F5" s="20" t="n">
        <f aca="false">SUMIF('Cost Estimate'!$D$5:$D$84,$A5,'Cost Estimate'!$Q$5:$Q$84)</f>
        <v>0</v>
      </c>
      <c r="G5" s="20" t="n">
        <f aca="false">D5-F5</f>
        <v>33660</v>
      </c>
    </row>
    <row r="6" customFormat="false" ht="15" hidden="false" customHeight="false" outlineLevel="0" collapsed="false">
      <c r="A6" s="19" t="s">
        <v>74</v>
      </c>
      <c r="B6" s="20" t="n">
        <f aca="false">SUMIF('Cost Estimate'!$D$5:$D$84,$A6,'Cost Estimate'!$J$5:$J$84)</f>
        <v>0</v>
      </c>
      <c r="C6" s="20" t="n">
        <f aca="false">SUMIF('Cost Estimate'!$D$5:$D$84,$A6,'Cost Estimate'!$L$5:$L$84)</f>
        <v>0</v>
      </c>
      <c r="D6" s="20" t="n">
        <f aca="false">SUMIF('Cost Estimate'!$D$5:$D$84,$A6,'Cost Estimate'!$M$5:$M$84)</f>
        <v>0</v>
      </c>
      <c r="E6" s="20" t="n">
        <f aca="false">SUMIF('Cost Estimate'!$D$5:$D$84,$A6,'Cost Estimate'!$O$5:$O$84)</f>
        <v>0</v>
      </c>
      <c r="F6" s="20" t="n">
        <f aca="false">SUMIF('Cost Estimate'!$D$5:$D$84,$A6,'Cost Estimate'!$Q$5:$Q$84)</f>
        <v>0</v>
      </c>
      <c r="G6" s="20" t="n">
        <f aca="false">D6-F6</f>
        <v>0</v>
      </c>
    </row>
    <row r="7" customFormat="false" ht="15" hidden="false" customHeight="false" outlineLevel="0" collapsed="false">
      <c r="A7" s="19" t="s">
        <v>75</v>
      </c>
      <c r="B7" s="20" t="n">
        <f aca="false">SUMIF('Cost Estimate'!$D$5:$D$84,$A7,'Cost Estimate'!$J$5:$J$84)</f>
        <v>0</v>
      </c>
      <c r="C7" s="20" t="n">
        <f aca="false">SUMIF('Cost Estimate'!$D$5:$D$84,$A7,'Cost Estimate'!$L$5:$L$84)</f>
        <v>0</v>
      </c>
      <c r="D7" s="20" t="n">
        <f aca="false">SUMIF('Cost Estimate'!$D$5:$D$84,$A7,'Cost Estimate'!$M$5:$M$84)</f>
        <v>0</v>
      </c>
      <c r="E7" s="20" t="n">
        <f aca="false">SUMIF('Cost Estimate'!$D$5:$D$84,$A7,'Cost Estimate'!$O$5:$O$84)</f>
        <v>0</v>
      </c>
      <c r="F7" s="20" t="n">
        <f aca="false">SUMIF('Cost Estimate'!$D$5:$D$84,$A7,'Cost Estimate'!$Q$5:$Q$84)</f>
        <v>0</v>
      </c>
      <c r="G7" s="20" t="n">
        <f aca="false">D7-F7</f>
        <v>0</v>
      </c>
    </row>
    <row r="8" customFormat="false" ht="15" hidden="false" customHeight="false" outlineLevel="0" collapsed="false">
      <c r="A8" s="19" t="s">
        <v>76</v>
      </c>
      <c r="B8" s="20" t="n">
        <f aca="false">SUMIF('Cost Estimate'!$D$5:$D$84,$A8,'Cost Estimate'!$J$5:$J$84)</f>
        <v>15000</v>
      </c>
      <c r="C8" s="20" t="n">
        <f aca="false">SUMIF('Cost Estimate'!$D$5:$D$84,$A8,'Cost Estimate'!$L$5:$L$84)</f>
        <v>1500</v>
      </c>
      <c r="D8" s="20" t="n">
        <f aca="false">SUMIF('Cost Estimate'!$D$5:$D$84,$A8,'Cost Estimate'!$M$5:$M$84)</f>
        <v>16500</v>
      </c>
      <c r="E8" s="20" t="n">
        <f aca="false">SUMIF('Cost Estimate'!$D$5:$D$84,$A8,'Cost Estimate'!$O$5:$O$84)</f>
        <v>0</v>
      </c>
      <c r="F8" s="20" t="n">
        <f aca="false">SUMIF('Cost Estimate'!$D$5:$D$84,$A8,'Cost Estimate'!$Q$5:$Q$84)</f>
        <v>0</v>
      </c>
      <c r="G8" s="20" t="n">
        <f aca="false">D8-F8</f>
        <v>16500</v>
      </c>
    </row>
    <row r="9" customFormat="false" ht="15" hidden="false" customHeight="false" outlineLevel="0" collapsed="false">
      <c r="A9" s="19" t="s">
        <v>77</v>
      </c>
      <c r="B9" s="20" t="n">
        <f aca="false">SUMIF('Cost Estimate'!$D$5:$D$84,$A9,'Cost Estimate'!$J$5:$J$84)</f>
        <v>0</v>
      </c>
      <c r="C9" s="20" t="n">
        <f aca="false">SUMIF('Cost Estimate'!$D$5:$D$84,$A9,'Cost Estimate'!$L$5:$L$84)</f>
        <v>0</v>
      </c>
      <c r="D9" s="20" t="n">
        <f aca="false">SUMIF('Cost Estimate'!$D$5:$D$84,$A9,'Cost Estimate'!$M$5:$M$84)</f>
        <v>0</v>
      </c>
      <c r="E9" s="20" t="n">
        <f aca="false">SUMIF('Cost Estimate'!$D$5:$D$84,$A9,'Cost Estimate'!$O$5:$O$84)</f>
        <v>0</v>
      </c>
      <c r="F9" s="20" t="n">
        <f aca="false">SUMIF('Cost Estimate'!$D$5:$D$84,$A9,'Cost Estimate'!$Q$5:$Q$84)</f>
        <v>0</v>
      </c>
      <c r="G9" s="20" t="n">
        <f aca="false">D9-F9</f>
        <v>0</v>
      </c>
    </row>
    <row r="10" customFormat="false" ht="15" hidden="false" customHeight="false" outlineLevel="0" collapsed="false">
      <c r="A10" s="19" t="s">
        <v>78</v>
      </c>
      <c r="B10" s="20" t="n">
        <f aca="false">SUMIF('Cost Estimate'!$D$5:$D$84,$A10,'Cost Estimate'!$J$5:$J$84)</f>
        <v>0</v>
      </c>
      <c r="C10" s="20" t="n">
        <f aca="false">SUMIF('Cost Estimate'!$D$5:$D$84,$A10,'Cost Estimate'!$L$5:$L$84)</f>
        <v>0</v>
      </c>
      <c r="D10" s="20" t="n">
        <f aca="false">SUMIF('Cost Estimate'!$D$5:$D$84,$A10,'Cost Estimate'!$M$5:$M$84)</f>
        <v>0</v>
      </c>
      <c r="E10" s="20" t="n">
        <f aca="false">SUMIF('Cost Estimate'!$D$5:$D$84,$A10,'Cost Estimate'!$O$5:$O$84)</f>
        <v>0</v>
      </c>
      <c r="F10" s="20" t="n">
        <f aca="false">SUMIF('Cost Estimate'!$D$5:$D$84,$A10,'Cost Estimate'!$Q$5:$Q$84)</f>
        <v>0</v>
      </c>
      <c r="G10" s="20" t="n">
        <f aca="false">D10-F10</f>
        <v>0</v>
      </c>
    </row>
    <row r="11" customFormat="false" ht="15" hidden="false" customHeight="false" outlineLevel="0" collapsed="false">
      <c r="A11" s="19" t="s">
        <v>79</v>
      </c>
      <c r="B11" s="20" t="n">
        <f aca="false">SUMIF('Cost Estimate'!$D$5:$D$84,$A11,'Cost Estimate'!$J$5:$J$84)</f>
        <v>10000</v>
      </c>
      <c r="C11" s="20" t="n">
        <f aca="false">SUMIF('Cost Estimate'!$D$5:$D$84,$A11,'Cost Estimate'!$L$5:$L$84)</f>
        <v>1000</v>
      </c>
      <c r="D11" s="20" t="n">
        <f aca="false">SUMIF('Cost Estimate'!$D$5:$D$84,$A11,'Cost Estimate'!$M$5:$M$84)</f>
        <v>11000</v>
      </c>
      <c r="E11" s="20" t="n">
        <f aca="false">SUMIF('Cost Estimate'!$D$5:$D$84,$A11,'Cost Estimate'!$O$5:$O$84)</f>
        <v>0</v>
      </c>
      <c r="F11" s="20" t="n">
        <f aca="false">SUMIF('Cost Estimate'!$D$5:$D$84,$A11,'Cost Estimate'!$Q$5:$Q$84)</f>
        <v>0</v>
      </c>
      <c r="G11" s="20" t="n">
        <f aca="false">D11-F11</f>
        <v>11000</v>
      </c>
    </row>
    <row r="12" customFormat="false" ht="15" hidden="false" customHeight="false" outlineLevel="0" collapsed="false">
      <c r="A12" s="19" t="s">
        <v>80</v>
      </c>
      <c r="B12" s="20" t="n">
        <f aca="false">SUMIF('Cost Estimate'!$D$5:$D$84,$A12,'Cost Estimate'!$J$5:$J$84)</f>
        <v>0</v>
      </c>
      <c r="C12" s="20" t="n">
        <f aca="false">SUMIF('Cost Estimate'!$D$5:$D$84,$A12,'Cost Estimate'!$L$5:$L$84)</f>
        <v>0</v>
      </c>
      <c r="D12" s="20" t="n">
        <f aca="false">SUMIF('Cost Estimate'!$D$5:$D$84,$A12,'Cost Estimate'!$M$5:$M$84)</f>
        <v>0</v>
      </c>
      <c r="E12" s="20" t="n">
        <f aca="false">SUMIF('Cost Estimate'!$D$5:$D$84,$A12,'Cost Estimate'!$O$5:$O$84)</f>
        <v>0</v>
      </c>
      <c r="F12" s="20" t="n">
        <f aca="false">SUMIF('Cost Estimate'!$D$5:$D$84,$A12,'Cost Estimate'!$Q$5:$Q$84)</f>
        <v>0</v>
      </c>
      <c r="G12" s="20" t="n">
        <f aca="false">D12-F12</f>
        <v>0</v>
      </c>
    </row>
    <row r="13" customFormat="false" ht="15" hidden="false" customHeight="false" outlineLevel="0" collapsed="false">
      <c r="A13" s="19" t="s">
        <v>81</v>
      </c>
      <c r="B13" s="20" t="n">
        <f aca="false">SUMIF('Cost Estimate'!$D$5:$D$84,$A13,'Cost Estimate'!$J$5:$J$84)</f>
        <v>0</v>
      </c>
      <c r="C13" s="20" t="n">
        <f aca="false">SUMIF('Cost Estimate'!$D$5:$D$84,$A13,'Cost Estimate'!$L$5:$L$84)</f>
        <v>0</v>
      </c>
      <c r="D13" s="20" t="n">
        <f aca="false">SUMIF('Cost Estimate'!$D$5:$D$84,$A13,'Cost Estimate'!$M$5:$M$84)</f>
        <v>0</v>
      </c>
      <c r="E13" s="20" t="n">
        <f aca="false">SUMIF('Cost Estimate'!$D$5:$D$84,$A13,'Cost Estimate'!$O$5:$O$84)</f>
        <v>0</v>
      </c>
      <c r="F13" s="20" t="n">
        <f aca="false">SUMIF('Cost Estimate'!$D$5:$D$84,$A13,'Cost Estimate'!$Q$5:$Q$84)</f>
        <v>0</v>
      </c>
      <c r="G13" s="20" t="n">
        <f aca="false">D13-F13</f>
        <v>0</v>
      </c>
    </row>
    <row r="14" customFormat="false" ht="15" hidden="false" customHeight="false" outlineLevel="0" collapsed="false">
      <c r="A14" s="9" t="s">
        <v>82</v>
      </c>
      <c r="B14" s="21" t="n">
        <f aca="false">SUM(B5:B13)</f>
        <v>55600</v>
      </c>
      <c r="C14" s="21" t="n">
        <f aca="false">SUM(C5:C13)</f>
        <v>5560</v>
      </c>
      <c r="D14" s="21" t="n">
        <f aca="false">SUM(D5:D13)</f>
        <v>61160</v>
      </c>
      <c r="E14" s="21" t="n">
        <f aca="false">SUM(E5:E13)</f>
        <v>0</v>
      </c>
      <c r="F14" s="21" t="n">
        <f aca="false">SUM(F5:F13)</f>
        <v>0</v>
      </c>
      <c r="G14" s="21" t="n">
        <f aca="false">SUM(G5:G13)</f>
        <v>61160</v>
      </c>
    </row>
    <row r="15" customFormat="false" ht="15" hidden="false" customHeight="false" outlineLevel="0" collapsed="false">
      <c r="A15" s="19" t="s">
        <v>83</v>
      </c>
      <c r="D15" s="20" t="n">
        <f aca="false">D14*Assumptions!$B$7</f>
        <v>3058</v>
      </c>
    </row>
    <row r="16" customFormat="false" ht="15" hidden="false" customHeight="false" outlineLevel="0" collapsed="false">
      <c r="A16" s="22" t="s">
        <v>84</v>
      </c>
      <c r="D16" s="21" t="n">
        <f aca="false">D14+D15</f>
        <v>64218</v>
      </c>
    </row>
    <row r="17" customFormat="false" ht="15" hidden="false" customHeight="false" outlineLevel="0" collapsed="false">
      <c r="A17" s="23" t="s">
        <v>85</v>
      </c>
      <c r="D17" s="20" t="n">
        <f aca="false">'Cost Estimate'!M85-D14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1.5"/>
  </cols>
  <sheetData>
    <row r="1" customFormat="false" ht="25.5" hidden="false" customHeight="true" outlineLevel="0" collapsed="false">
      <c r="A1" s="16" t="s">
        <v>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6" hidden="false" customHeight="true" outlineLevel="0" collapsed="false"/>
    <row r="4" customFormat="false" ht="15" hidden="false" customHeight="false" outlineLevel="0" collapsed="false">
      <c r="A4" s="9" t="s">
        <v>87</v>
      </c>
      <c r="B4" s="24" t="n">
        <f aca="false">DATE(2026,11,1)</f>
        <v>46327</v>
      </c>
      <c r="C4" s="24" t="n">
        <f aca="false">EDATE(DATE(2026,11,1),1)</f>
        <v>46357</v>
      </c>
      <c r="D4" s="24" t="n">
        <f aca="false">EDATE(DATE(2026,11,1),2)</f>
        <v>46388</v>
      </c>
      <c r="E4" s="24" t="n">
        <f aca="false">EDATE(DATE(2026,11,1),3)</f>
        <v>46419</v>
      </c>
      <c r="F4" s="24" t="n">
        <f aca="false">EDATE(DATE(2026,11,1),4)</f>
        <v>46447</v>
      </c>
      <c r="G4" s="24" t="n">
        <f aca="false">EDATE(DATE(2026,11,1),5)</f>
        <v>46478</v>
      </c>
      <c r="H4" s="24" t="n">
        <f aca="false">EDATE(DATE(2026,11,1),6)</f>
        <v>46508</v>
      </c>
      <c r="I4" s="24" t="n">
        <f aca="false">EDATE(DATE(2026,11,1),7)</f>
        <v>46539</v>
      </c>
      <c r="J4" s="24" t="n">
        <f aca="false">EDATE(DATE(2026,11,1),8)</f>
        <v>46569</v>
      </c>
      <c r="K4" s="24" t="n">
        <f aca="false">EDATE(DATE(2026,11,1),9)</f>
        <v>46600</v>
      </c>
      <c r="L4" s="24" t="n">
        <f aca="false">EDATE(DATE(2026,11,1),10)</f>
        <v>46631</v>
      </c>
      <c r="M4" s="24" t="n">
        <f aca="false">EDATE(DATE(2026,11,1),11)</f>
        <v>46661</v>
      </c>
      <c r="N4" s="25" t="s">
        <v>88</v>
      </c>
    </row>
    <row r="5" customFormat="false" ht="15" hidden="false" customHeight="false" outlineLevel="0" collapsed="false">
      <c r="A5" s="19" t="s">
        <v>89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1" t="n">
        <f aca="false">SUM(B5:M5)</f>
        <v>0</v>
      </c>
    </row>
    <row r="6" customFormat="false" ht="15" hidden="false" customHeight="false" outlineLevel="0" collapsed="false">
      <c r="A6" s="19" t="s">
        <v>90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1" t="n">
        <f aca="false">SUM(B6:M6)</f>
        <v>0</v>
      </c>
    </row>
    <row r="7" customFormat="false" ht="15" hidden="false" customHeight="false" outlineLevel="0" collapsed="false">
      <c r="A7" s="19" t="s">
        <v>91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1" t="n">
        <f aca="false">SUM(B7:M7)</f>
        <v>0</v>
      </c>
    </row>
    <row r="8" customFormat="false" ht="15" hidden="false" customHeight="false" outlineLevel="0" collapsed="false">
      <c r="A8" s="27" t="s">
        <v>92</v>
      </c>
      <c r="B8" s="20" t="n">
        <f aca="false">B5</f>
        <v>0</v>
      </c>
      <c r="C8" s="20" t="n">
        <f aca="false">SUM($B$5:C5)</f>
        <v>0</v>
      </c>
      <c r="D8" s="20" t="n">
        <f aca="false">SUM($B$5:D5)</f>
        <v>0</v>
      </c>
      <c r="E8" s="20" t="n">
        <f aca="false">SUM($B$5:E5)</f>
        <v>0</v>
      </c>
      <c r="F8" s="20" t="n">
        <f aca="false">SUM($B$5:F5)</f>
        <v>0</v>
      </c>
      <c r="G8" s="20" t="n">
        <f aca="false">SUM($B$5:G5)</f>
        <v>0</v>
      </c>
      <c r="H8" s="20" t="n">
        <f aca="false">SUM($B$5:H5)</f>
        <v>0</v>
      </c>
      <c r="I8" s="20" t="n">
        <f aca="false">SUM($B$5:I5)</f>
        <v>0</v>
      </c>
      <c r="J8" s="20" t="n">
        <f aca="false">SUM($B$5:J5)</f>
        <v>0</v>
      </c>
      <c r="K8" s="20" t="n">
        <f aca="false">SUM($B$5:K5)</f>
        <v>0</v>
      </c>
      <c r="L8" s="20" t="n">
        <f aca="false">SUM($B$5:L5)</f>
        <v>0</v>
      </c>
      <c r="M8" s="20" t="n">
        <f aca="false">SUM($B$5:M5)</f>
        <v>0</v>
      </c>
    </row>
    <row r="9" customFormat="false" ht="15" hidden="false" customHeight="false" outlineLevel="0" collapsed="false">
      <c r="A9" s="27" t="s">
        <v>93</v>
      </c>
      <c r="B9" s="20" t="n">
        <f aca="false">B6</f>
        <v>0</v>
      </c>
      <c r="C9" s="20" t="n">
        <f aca="false">SUM($B$6:C6)</f>
        <v>0</v>
      </c>
      <c r="D9" s="20" t="n">
        <f aca="false">SUM($B$6:D6)</f>
        <v>0</v>
      </c>
      <c r="E9" s="20" t="n">
        <f aca="false">SUM($B$6:E6)</f>
        <v>0</v>
      </c>
      <c r="F9" s="20" t="n">
        <f aca="false">SUM($B$6:F6)</f>
        <v>0</v>
      </c>
      <c r="G9" s="20" t="n">
        <f aca="false">SUM($B$6:G6)</f>
        <v>0</v>
      </c>
      <c r="H9" s="20" t="n">
        <f aca="false">SUM($B$6:H6)</f>
        <v>0</v>
      </c>
      <c r="I9" s="20" t="n">
        <f aca="false">SUM($B$6:I6)</f>
        <v>0</v>
      </c>
      <c r="J9" s="20" t="n">
        <f aca="false">SUM($B$6:J6)</f>
        <v>0</v>
      </c>
      <c r="K9" s="20" t="n">
        <f aca="false">SUM($B$6:K6)</f>
        <v>0</v>
      </c>
      <c r="L9" s="20" t="n">
        <f aca="false">SUM($B$6:L6)</f>
        <v>0</v>
      </c>
      <c r="M9" s="20" t="n">
        <f aca="false">SUM($B$6:M6)</f>
        <v>0</v>
      </c>
    </row>
    <row r="10" customFormat="false" ht="15" hidden="false" customHeight="false" outlineLevel="0" collapsed="false">
      <c r="A10" s="27" t="s">
        <v>94</v>
      </c>
      <c r="B10" s="20" t="n">
        <f aca="false">B7</f>
        <v>0</v>
      </c>
      <c r="C10" s="20" t="n">
        <f aca="false">SUM($B$7:C7)</f>
        <v>0</v>
      </c>
      <c r="D10" s="20" t="n">
        <f aca="false">SUM($B$7:D7)</f>
        <v>0</v>
      </c>
      <c r="E10" s="20" t="n">
        <f aca="false">SUM($B$7:E7)</f>
        <v>0</v>
      </c>
      <c r="F10" s="20" t="n">
        <f aca="false">SUM($B$7:F7)</f>
        <v>0</v>
      </c>
      <c r="G10" s="20" t="n">
        <f aca="false">SUM($B$7:G7)</f>
        <v>0</v>
      </c>
      <c r="H10" s="20" t="n">
        <f aca="false">SUM($B$7:H7)</f>
        <v>0</v>
      </c>
      <c r="I10" s="20" t="n">
        <f aca="false">SUM($B$7:I7)</f>
        <v>0</v>
      </c>
      <c r="J10" s="20" t="n">
        <f aca="false">SUM($B$7:J7)</f>
        <v>0</v>
      </c>
      <c r="K10" s="20" t="n">
        <f aca="false">SUM($B$7:K7)</f>
        <v>0</v>
      </c>
      <c r="L10" s="20" t="n">
        <f aca="false">SUM($B$7:L7)</f>
        <v>0</v>
      </c>
      <c r="M10" s="20" t="n">
        <f aca="false">SUM($B$7:M7)</f>
        <v>0</v>
      </c>
    </row>
    <row r="11" customFormat="false" ht="15" hidden="false" customHeight="false" outlineLevel="0" collapsed="false">
      <c r="A11" s="23" t="s">
        <v>95</v>
      </c>
      <c r="N11" s="20" t="n">
        <f aca="false">Summary!D14-N5</f>
        <v>61160</v>
      </c>
    </row>
    <row r="13" customFormat="false" ht="15" hidden="false" customHeight="false" outlineLevel="0" collapsed="false">
      <c r="A13" s="28" t="s">
        <v>96</v>
      </c>
    </row>
    <row r="14" customFormat="false" ht="15" hidden="false" customHeight="false" outlineLevel="0" collapsed="false">
      <c r="A14" s="29" t="s">
        <v>97</v>
      </c>
      <c r="B14" s="30" t="n">
        <f aca="false">B4</f>
        <v>46327</v>
      </c>
    </row>
    <row r="15" customFormat="false" ht="15" hidden="false" customHeight="false" outlineLevel="0" collapsed="false">
      <c r="A15" s="19" t="s">
        <v>98</v>
      </c>
      <c r="B15" s="21" t="n">
        <f aca="false">Summary!D14</f>
        <v>61160</v>
      </c>
    </row>
    <row r="16" customFormat="false" ht="15" hidden="false" customHeight="false" outlineLevel="0" collapsed="false">
      <c r="A16" s="19" t="s">
        <v>99</v>
      </c>
      <c r="B16" s="21" t="n">
        <f aca="false">SUMPRODUCT(($B$4:$M$4&lt;=$B$14)*($B$5:$M$5))</f>
        <v>0</v>
      </c>
    </row>
    <row r="17" customFormat="false" ht="15" hidden="false" customHeight="false" outlineLevel="0" collapsed="false">
      <c r="A17" s="19" t="s">
        <v>100</v>
      </c>
      <c r="B17" s="21" t="n">
        <f aca="false">SUMPRODUCT(($B$4:$M$4&lt;=$B$14)*($B$6:$M$6))</f>
        <v>0</v>
      </c>
    </row>
    <row r="18" customFormat="false" ht="15" hidden="false" customHeight="false" outlineLevel="0" collapsed="false">
      <c r="A18" s="19" t="s">
        <v>101</v>
      </c>
      <c r="B18" s="21" t="n">
        <f aca="false">SUMPRODUCT(($B$4:$M$4&lt;=$B$14)*($B$7:$M$7))</f>
        <v>0</v>
      </c>
    </row>
    <row r="19" customFormat="false" ht="15" hidden="false" customHeight="false" outlineLevel="0" collapsed="false">
      <c r="A19" s="19" t="s">
        <v>102</v>
      </c>
      <c r="B19" s="21" t="n">
        <f aca="false">B17-B18</f>
        <v>0</v>
      </c>
    </row>
    <row r="20" customFormat="false" ht="15" hidden="false" customHeight="false" outlineLevel="0" collapsed="false">
      <c r="A20" s="19" t="s">
        <v>103</v>
      </c>
      <c r="B20" s="21" t="n">
        <f aca="false">B17-B16</f>
        <v>0</v>
      </c>
    </row>
    <row r="21" customFormat="false" ht="15" hidden="false" customHeight="false" outlineLevel="0" collapsed="false">
      <c r="A21" s="19" t="s">
        <v>104</v>
      </c>
      <c r="B21" s="31" t="str">
        <f aca="false">IFERROR(B17/B18,"")</f>
        <v/>
      </c>
    </row>
    <row r="22" customFormat="false" ht="15" hidden="false" customHeight="false" outlineLevel="0" collapsed="false">
      <c r="A22" s="19" t="s">
        <v>105</v>
      </c>
      <c r="B22" s="31" t="str">
        <f aca="false">IFERROR(B17/B16,"")</f>
        <v/>
      </c>
    </row>
    <row r="23" customFormat="false" ht="15" hidden="false" customHeight="false" outlineLevel="0" collapsed="false">
      <c r="A23" s="19" t="s">
        <v>106</v>
      </c>
      <c r="B23" s="21" t="n">
        <f aca="false">IFERROR(B15/B21,B15)</f>
        <v>61160</v>
      </c>
    </row>
    <row r="24" customFormat="false" ht="15" hidden="false" customHeight="false" outlineLevel="0" collapsed="false">
      <c r="A24" s="19" t="s">
        <v>107</v>
      </c>
      <c r="B24" s="21" t="n">
        <f aca="false">B23-B18</f>
        <v>61160</v>
      </c>
    </row>
    <row r="25" customFormat="false" ht="15" hidden="false" customHeight="false" outlineLevel="0" collapsed="false">
      <c r="A25" s="19" t="s">
        <v>108</v>
      </c>
      <c r="B25" s="21" t="n">
        <f aca="false">B15-B23</f>
        <v>0</v>
      </c>
    </row>
    <row r="26" customFormat="false" ht="15" hidden="false" customHeight="false" outlineLevel="0" collapsed="false">
      <c r="A26" s="19" t="s">
        <v>109</v>
      </c>
      <c r="B26" s="31" t="n">
        <f aca="false">IFERROR((B15-B17)/(B15-B18),"")</f>
        <v>1</v>
      </c>
    </row>
    <row r="27" customFormat="false" ht="15" hidden="false" customHeight="false" outlineLevel="0" collapsed="false">
      <c r="A27" s="19" t="s">
        <v>110</v>
      </c>
      <c r="B27" s="32" t="str">
        <f aca="false">IF(B21="","",IF(B21&gt;=0.95,"Green",IF(B21&gt;=0.9,"Amber","Red")))</f>
        <v/>
      </c>
    </row>
    <row r="28" customFormat="false" ht="15" hidden="false" customHeight="false" outlineLevel="0" collapsed="false">
      <c r="A28" s="19" t="s">
        <v>111</v>
      </c>
      <c r="B28" s="32" t="str">
        <f aca="false">IF(B22="","",IF(B22&gt;=0.95,"Green",IF(B22&gt;=0.9,"Amber","Red")))</f>
        <v/>
      </c>
    </row>
  </sheetData>
  <mergeCells count="2">
    <mergeCell ref="A1:N1"/>
    <mergeCell ref="A2:N2"/>
  </mergeCells>
  <conditionalFormatting sqref="B27:B28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6" t="s">
        <v>112</v>
      </c>
      <c r="B1" s="16"/>
      <c r="C1" s="16"/>
      <c r="D1" s="16"/>
      <c r="E1" s="16"/>
      <c r="F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</row>
    <row r="3" customFormat="false" ht="6" hidden="false" customHeight="true" outlineLevel="0" collapsed="false"/>
    <row r="4" customFormat="false" ht="15" hidden="false" customHeight="false" outlineLevel="0" collapsed="false">
      <c r="A4" s="9" t="s">
        <v>113</v>
      </c>
      <c r="B4" s="9" t="s">
        <v>114</v>
      </c>
      <c r="E4" s="9" t="s">
        <v>115</v>
      </c>
      <c r="F4" s="9" t="s">
        <v>116</v>
      </c>
    </row>
    <row r="5" customFormat="false" ht="15" hidden="false" customHeight="false" outlineLevel="0" collapsed="false">
      <c r="A5" s="19" t="s">
        <v>34</v>
      </c>
      <c r="B5" s="33" t="s">
        <v>35</v>
      </c>
      <c r="E5" s="19" t="s">
        <v>117</v>
      </c>
      <c r="F5" s="34" t="n">
        <v>120</v>
      </c>
    </row>
    <row r="6" customFormat="false" ht="15" hidden="false" customHeight="false" outlineLevel="0" collapsed="false">
      <c r="A6" s="19" t="s">
        <v>118</v>
      </c>
      <c r="B6" s="35" t="n">
        <v>0.1</v>
      </c>
      <c r="E6" s="19" t="s">
        <v>119</v>
      </c>
      <c r="F6" s="34" t="n">
        <v>95</v>
      </c>
    </row>
    <row r="7" customFormat="false" ht="15" hidden="false" customHeight="false" outlineLevel="0" collapsed="false">
      <c r="A7" s="19" t="s">
        <v>120</v>
      </c>
      <c r="B7" s="35" t="n">
        <v>0.05</v>
      </c>
      <c r="E7" s="19" t="s">
        <v>121</v>
      </c>
      <c r="F7" s="34" t="n">
        <v>130</v>
      </c>
    </row>
    <row r="8" customFormat="false" ht="15" hidden="false" customHeight="false" outlineLevel="0" collapsed="false">
      <c r="A8" s="19" t="s">
        <v>122</v>
      </c>
      <c r="B8" s="36" t="n">
        <v>8</v>
      </c>
      <c r="E8" s="19" t="s">
        <v>123</v>
      </c>
      <c r="F8" s="34" t="n">
        <v>105</v>
      </c>
    </row>
    <row r="9" customFormat="false" ht="15" hidden="false" customHeight="false" outlineLevel="0" collapsed="false">
      <c r="A9" s="19" t="s">
        <v>124</v>
      </c>
      <c r="B9" s="33" t="s">
        <v>125</v>
      </c>
      <c r="E9" s="19" t="s">
        <v>126</v>
      </c>
      <c r="F9" s="34" t="n">
        <v>85</v>
      </c>
    </row>
    <row r="10" customFormat="false" ht="15" hidden="false" customHeight="false" outlineLevel="0" collapsed="false">
      <c r="E10" s="19" t="s">
        <v>127</v>
      </c>
      <c r="F10" s="34" t="n">
        <v>90</v>
      </c>
    </row>
    <row r="11" customFormat="false" ht="15" hidden="false" customHeight="false" outlineLevel="0" collapsed="false">
      <c r="E11" s="19" t="s">
        <v>128</v>
      </c>
      <c r="F11" s="34" t="n">
        <v>80</v>
      </c>
    </row>
    <row r="12" customFormat="false" ht="15" hidden="false" customHeight="false" outlineLevel="0" collapsed="false">
      <c r="E12" s="19" t="s">
        <v>129</v>
      </c>
      <c r="F12" s="34" t="n"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S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6" min="14" style="0" width="11"/>
    <col collapsed="false" customWidth="true" hidden="false" outlineLevel="0" max="18" min="17" style="0" width="12"/>
    <col collapsed="false" customWidth="true" hidden="false" outlineLevel="0" max="19" min="19" style="0" width="8"/>
  </cols>
  <sheetData>
    <row r="1" customFormat="false" ht="25.5" hidden="false" customHeight="true" outlineLevel="0" collapsed="false">
      <c r="A1" s="16" t="s">
        <v>130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customFormat="false" ht="6" hidden="false" customHeight="true" outlineLevel="0" collapsed="false"/>
    <row r="4" customFormat="false" ht="33.75" hidden="false" customHeight="true" outlineLevel="0" collapsed="false">
      <c r="A4" s="37" t="s">
        <v>131</v>
      </c>
      <c r="B4" s="37" t="s">
        <v>132</v>
      </c>
      <c r="C4" s="37" t="s">
        <v>133</v>
      </c>
      <c r="D4" s="37" t="s">
        <v>66</v>
      </c>
      <c r="E4" s="37" t="s">
        <v>134</v>
      </c>
      <c r="F4" s="37" t="s">
        <v>135</v>
      </c>
      <c r="G4" s="37" t="s">
        <v>136</v>
      </c>
      <c r="H4" s="37" t="s">
        <v>137</v>
      </c>
      <c r="I4" s="38" t="s">
        <v>138</v>
      </c>
      <c r="J4" s="38" t="s">
        <v>139</v>
      </c>
      <c r="K4" s="37" t="s">
        <v>140</v>
      </c>
      <c r="L4" s="38" t="s">
        <v>141</v>
      </c>
      <c r="M4" s="38" t="s">
        <v>142</v>
      </c>
      <c r="N4" s="37" t="s">
        <v>143</v>
      </c>
      <c r="O4" s="37" t="s">
        <v>70</v>
      </c>
      <c r="P4" s="37" t="s">
        <v>144</v>
      </c>
      <c r="Q4" s="38" t="s">
        <v>145</v>
      </c>
      <c r="R4" s="38" t="s">
        <v>146</v>
      </c>
      <c r="S4" s="38" t="s">
        <v>147</v>
      </c>
    </row>
    <row r="5" customFormat="false" ht="15" hidden="false" customHeight="false" outlineLevel="0" collapsed="false">
      <c r="A5" s="39" t="s">
        <v>148</v>
      </c>
      <c r="B5" s="39" t="s">
        <v>149</v>
      </c>
      <c r="C5" s="39" t="s">
        <v>150</v>
      </c>
      <c r="D5" s="39" t="s">
        <v>73</v>
      </c>
      <c r="E5" s="39" t="s">
        <v>117</v>
      </c>
      <c r="F5" s="40" t="n">
        <v>160</v>
      </c>
      <c r="G5" s="39" t="s">
        <v>151</v>
      </c>
      <c r="H5" s="41"/>
      <c r="I5" s="42" t="n">
        <f aca="false">IF(H5&lt;&gt;"",H5,IF(E5&lt;&gt;"",IFERROR(VLOOKUP(E5,Assumptions!$E$5:$F$12,2,FALSE()),0),0))</f>
        <v>120</v>
      </c>
      <c r="J5" s="42" t="n">
        <f aca="false">IF(F5="","",F5*I5)</f>
        <v>19200</v>
      </c>
      <c r="K5" s="43"/>
      <c r="L5" s="42" t="n">
        <f aca="false">IF(J5="","",J5*IF(K5="",Assumptions!$B$6,K5))</f>
        <v>1920</v>
      </c>
      <c r="M5" s="44" t="n">
        <f aca="false">IF(J5="","",J5+L5)</f>
        <v>21120</v>
      </c>
      <c r="N5" s="41"/>
      <c r="O5" s="41"/>
      <c r="P5" s="41"/>
      <c r="Q5" s="42" t="str">
        <f aca="false">IF(AND(O5="",P5=""),"",N(O5)+N(P5))</f>
        <v/>
      </c>
      <c r="R5" s="42" t="str">
        <f aca="false">IF(OR(M5="",Q5=""),"",M5-Q5)</f>
        <v/>
      </c>
      <c r="S5" s="45" t="str">
        <f aca="false">IF(OR(R5="",N(M5)=0),"",R5/M5)</f>
        <v/>
      </c>
    </row>
    <row r="6" customFormat="false" ht="15" hidden="false" customHeight="false" outlineLevel="0" collapsed="false">
      <c r="A6" s="46" t="s">
        <v>152</v>
      </c>
      <c r="B6" s="46" t="s">
        <v>153</v>
      </c>
      <c r="C6" s="46" t="s">
        <v>154</v>
      </c>
      <c r="D6" s="46" t="s">
        <v>73</v>
      </c>
      <c r="E6" s="46" t="s">
        <v>119</v>
      </c>
      <c r="F6" s="47" t="n">
        <v>120</v>
      </c>
      <c r="G6" s="46" t="s">
        <v>151</v>
      </c>
      <c r="H6" s="48"/>
      <c r="I6" s="42" t="n">
        <f aca="false">IF(H6&lt;&gt;"",H6,IF(E6&lt;&gt;"",IFERROR(VLOOKUP(E6,Assumptions!$E$5:$F$12,2,FALSE()),0),0))</f>
        <v>95</v>
      </c>
      <c r="J6" s="42" t="n">
        <f aca="false">IF(F6="","",F6*I6)</f>
        <v>11400</v>
      </c>
      <c r="K6" s="49"/>
      <c r="L6" s="42" t="n">
        <f aca="false">IF(J6="","",J6*IF(K6="",Assumptions!$B$6,K6))</f>
        <v>1140</v>
      </c>
      <c r="M6" s="44" t="n">
        <f aca="false">IF(J6="","",J6+L6)</f>
        <v>12540</v>
      </c>
      <c r="N6" s="48"/>
      <c r="O6" s="48"/>
      <c r="P6" s="48"/>
      <c r="Q6" s="42" t="str">
        <f aca="false">IF(AND(O6="",P6=""),"",N(O6)+N(P6))</f>
        <v/>
      </c>
      <c r="R6" s="42" t="str">
        <f aca="false">IF(OR(M6="",Q6=""),"",M6-Q6)</f>
        <v/>
      </c>
      <c r="S6" s="45" t="str">
        <f aca="false">IF(OR(R6="",N(M6)=0),"",R6/M6)</f>
        <v/>
      </c>
    </row>
    <row r="7" customFormat="false" ht="15" hidden="false" customHeight="false" outlineLevel="0" collapsed="false">
      <c r="A7" s="39" t="s">
        <v>155</v>
      </c>
      <c r="B7" s="39" t="s">
        <v>156</v>
      </c>
      <c r="C7" s="39" t="s">
        <v>157</v>
      </c>
      <c r="D7" s="39" t="s">
        <v>76</v>
      </c>
      <c r="E7" s="39"/>
      <c r="F7" s="40" t="n">
        <v>25</v>
      </c>
      <c r="G7" s="39" t="s">
        <v>158</v>
      </c>
      <c r="H7" s="41" t="n">
        <v>600</v>
      </c>
      <c r="I7" s="42" t="n">
        <f aca="false">IF(H7&lt;&gt;"",H7,IF(E7&lt;&gt;"",IFERROR(VLOOKUP(E7,Assumptions!$E$5:$F$12,2,FALSE()),0),0))</f>
        <v>600</v>
      </c>
      <c r="J7" s="42" t="n">
        <f aca="false">IF(F7="","",F7*I7)</f>
        <v>15000</v>
      </c>
      <c r="K7" s="43"/>
      <c r="L7" s="42" t="n">
        <f aca="false">IF(J7="","",J7*IF(K7="",Assumptions!$B$6,K7))</f>
        <v>1500</v>
      </c>
      <c r="M7" s="44" t="n">
        <f aca="false">IF(J7="","",J7+L7)</f>
        <v>16500</v>
      </c>
      <c r="N7" s="41"/>
      <c r="O7" s="41"/>
      <c r="P7" s="41"/>
      <c r="Q7" s="42" t="str">
        <f aca="false">IF(AND(O7="",P7=""),"",N(O7)+N(P7))</f>
        <v/>
      </c>
      <c r="R7" s="42" t="str">
        <f aca="false">IF(OR(M7="",Q7=""),"",M7-Q7)</f>
        <v/>
      </c>
      <c r="S7" s="45" t="str">
        <f aca="false">IF(OR(R7="",N(M7)=0),"",R7/M7)</f>
        <v/>
      </c>
    </row>
    <row r="8" customFormat="false" ht="15" hidden="false" customHeight="false" outlineLevel="0" collapsed="false">
      <c r="A8" s="46" t="s">
        <v>159</v>
      </c>
      <c r="B8" s="46" t="s">
        <v>160</v>
      </c>
      <c r="C8" s="46" t="s">
        <v>161</v>
      </c>
      <c r="D8" s="46" t="s">
        <v>79</v>
      </c>
      <c r="E8" s="46"/>
      <c r="F8" s="47" t="n">
        <v>4</v>
      </c>
      <c r="G8" s="46" t="s">
        <v>162</v>
      </c>
      <c r="H8" s="48" t="n">
        <v>2500</v>
      </c>
      <c r="I8" s="42" t="n">
        <f aca="false">IF(H8&lt;&gt;"",H8,IF(E8&lt;&gt;"",IFERROR(VLOOKUP(E8,Assumptions!$E$5:$F$12,2,FALSE()),0),0))</f>
        <v>2500</v>
      </c>
      <c r="J8" s="42" t="n">
        <f aca="false">IF(F8="","",F8*I8)</f>
        <v>10000</v>
      </c>
      <c r="K8" s="49"/>
      <c r="L8" s="42" t="n">
        <f aca="false">IF(J8="","",J8*IF(K8="",Assumptions!$B$6,K8))</f>
        <v>1000</v>
      </c>
      <c r="M8" s="44" t="n">
        <f aca="false">IF(J8="","",J8+L8)</f>
        <v>11000</v>
      </c>
      <c r="N8" s="48"/>
      <c r="O8" s="48"/>
      <c r="P8" s="48"/>
      <c r="Q8" s="42" t="str">
        <f aca="false">IF(AND(O8="",P8=""),"",N(O8)+N(P8))</f>
        <v/>
      </c>
      <c r="R8" s="42" t="str">
        <f aca="false">IF(OR(M8="",Q8=""),"",M8-Q8)</f>
        <v/>
      </c>
      <c r="S8" s="45" t="str">
        <f aca="false">IF(OR(R8="",N(M8)=0),"",R8/M8)</f>
        <v/>
      </c>
    </row>
    <row r="9" customFormat="false" ht="15" hidden="false" customHeight="false" outlineLevel="0" collapsed="false">
      <c r="A9" s="50"/>
      <c r="B9" s="50"/>
      <c r="C9" s="50"/>
      <c r="D9" s="50"/>
      <c r="E9" s="50"/>
      <c r="F9" s="51"/>
      <c r="G9" s="50"/>
      <c r="H9" s="52"/>
      <c r="I9" s="42" t="n">
        <f aca="false">IF(H9&lt;&gt;"",H9,IF(E9&lt;&gt;"",IFERROR(VLOOKUP(E9,Assumptions!$E$5:$F$12,2,FALSE()),0),0))</f>
        <v>0</v>
      </c>
      <c r="J9" s="42" t="str">
        <f aca="false">IF(F9="","",F9*I9)</f>
        <v/>
      </c>
      <c r="K9" s="53"/>
      <c r="L9" s="42" t="str">
        <f aca="false">IF(J9="","",J9*IF(K9="",Assumptions!$B$6,K9))</f>
        <v/>
      </c>
      <c r="M9" s="44" t="str">
        <f aca="false">IF(J9="","",J9+L9)</f>
        <v/>
      </c>
      <c r="N9" s="52"/>
      <c r="O9" s="52"/>
      <c r="P9" s="52"/>
      <c r="Q9" s="42" t="str">
        <f aca="false">IF(AND(O9="",P9=""),"",N(O9)+N(P9))</f>
        <v/>
      </c>
      <c r="R9" s="42" t="str">
        <f aca="false">IF(OR(M9="",Q9=""),"",M9-Q9)</f>
        <v/>
      </c>
      <c r="S9" s="45" t="str">
        <f aca="false">IF(OR(R9="",N(M9)=0),"",R9/M9)</f>
        <v/>
      </c>
    </row>
    <row r="10" customFormat="false" ht="15" hidden="false" customHeight="false" outlineLevel="0" collapsed="false">
      <c r="A10" s="54"/>
      <c r="B10" s="54"/>
      <c r="C10" s="54"/>
      <c r="D10" s="54"/>
      <c r="E10" s="54"/>
      <c r="F10" s="55"/>
      <c r="G10" s="54"/>
      <c r="H10" s="56"/>
      <c r="I10" s="42" t="n">
        <f aca="false">IF(H10&lt;&gt;"",H10,IF(E10&lt;&gt;"",IFERROR(VLOOKUP(E10,Assumptions!$E$5:$F$12,2,FALSE()),0),0))</f>
        <v>0</v>
      </c>
      <c r="J10" s="42" t="str">
        <f aca="false">IF(F10="","",F10*I10)</f>
        <v/>
      </c>
      <c r="K10" s="57"/>
      <c r="L10" s="42" t="str">
        <f aca="false">IF(J10="","",J10*IF(K10="",Assumptions!$B$6,K10))</f>
        <v/>
      </c>
      <c r="M10" s="44" t="str">
        <f aca="false">IF(J10="","",J10+L10)</f>
        <v/>
      </c>
      <c r="N10" s="56"/>
      <c r="O10" s="56"/>
      <c r="P10" s="56"/>
      <c r="Q10" s="42" t="str">
        <f aca="false">IF(AND(O10="",P10=""),"",N(O10)+N(P10))</f>
        <v/>
      </c>
      <c r="R10" s="42" t="str">
        <f aca="false">IF(OR(M10="",Q10=""),"",M10-Q10)</f>
        <v/>
      </c>
      <c r="S10" s="45" t="str">
        <f aca="false">IF(OR(R10="",N(M10)=0),"",R10/M10)</f>
        <v/>
      </c>
    </row>
    <row r="11" customFormat="false" ht="15" hidden="false" customHeight="false" outlineLevel="0" collapsed="false">
      <c r="A11" s="50"/>
      <c r="B11" s="50"/>
      <c r="C11" s="50"/>
      <c r="D11" s="50"/>
      <c r="E11" s="50"/>
      <c r="F11" s="51"/>
      <c r="G11" s="50"/>
      <c r="H11" s="52"/>
      <c r="I11" s="42" t="n">
        <f aca="false">IF(H11&lt;&gt;"",H11,IF(E11&lt;&gt;"",IFERROR(VLOOKUP(E11,Assumptions!$E$5:$F$12,2,FALSE()),0),0))</f>
        <v>0</v>
      </c>
      <c r="J11" s="42" t="str">
        <f aca="false">IF(F11="","",F11*I11)</f>
        <v/>
      </c>
      <c r="K11" s="53"/>
      <c r="L11" s="42" t="str">
        <f aca="false">IF(J11="","",J11*IF(K11="",Assumptions!$B$6,K11))</f>
        <v/>
      </c>
      <c r="M11" s="44" t="str">
        <f aca="false">IF(J11="","",J11+L11)</f>
        <v/>
      </c>
      <c r="N11" s="52"/>
      <c r="O11" s="52"/>
      <c r="P11" s="52"/>
      <c r="Q11" s="42" t="str">
        <f aca="false">IF(AND(O11="",P11=""),"",N(O11)+N(P11))</f>
        <v/>
      </c>
      <c r="R11" s="42" t="str">
        <f aca="false">IF(OR(M11="",Q11=""),"",M11-Q11)</f>
        <v/>
      </c>
      <c r="S11" s="45" t="str">
        <f aca="false">IF(OR(R11="",N(M11)=0),"",R11/M11)</f>
        <v/>
      </c>
    </row>
    <row r="12" customFormat="false" ht="15" hidden="false" customHeight="false" outlineLevel="0" collapsed="false">
      <c r="A12" s="54"/>
      <c r="B12" s="54"/>
      <c r="C12" s="54"/>
      <c r="D12" s="54"/>
      <c r="E12" s="54"/>
      <c r="F12" s="55"/>
      <c r="G12" s="54"/>
      <c r="H12" s="56"/>
      <c r="I12" s="42" t="n">
        <f aca="false">IF(H12&lt;&gt;"",H12,IF(E12&lt;&gt;"",IFERROR(VLOOKUP(E12,Assumptions!$E$5:$F$12,2,FALSE()),0),0))</f>
        <v>0</v>
      </c>
      <c r="J12" s="42" t="str">
        <f aca="false">IF(F12="","",F12*I12)</f>
        <v/>
      </c>
      <c r="K12" s="57"/>
      <c r="L12" s="42" t="str">
        <f aca="false">IF(J12="","",J12*IF(K12="",Assumptions!$B$6,K12))</f>
        <v/>
      </c>
      <c r="M12" s="44" t="str">
        <f aca="false">IF(J12="","",J12+L12)</f>
        <v/>
      </c>
      <c r="N12" s="56"/>
      <c r="O12" s="56"/>
      <c r="P12" s="56"/>
      <c r="Q12" s="42" t="str">
        <f aca="false">IF(AND(O12="",P12=""),"",N(O12)+N(P12))</f>
        <v/>
      </c>
      <c r="R12" s="42" t="str">
        <f aca="false">IF(OR(M12="",Q12=""),"",M12-Q12)</f>
        <v/>
      </c>
      <c r="S12" s="45" t="str">
        <f aca="false">IF(OR(R12="",N(M12)=0),"",R12/M12)</f>
        <v/>
      </c>
    </row>
    <row r="13" customFormat="false" ht="15" hidden="false" customHeight="false" outlineLevel="0" collapsed="false">
      <c r="A13" s="50"/>
      <c r="B13" s="50"/>
      <c r="C13" s="50"/>
      <c r="D13" s="50"/>
      <c r="E13" s="50"/>
      <c r="F13" s="51"/>
      <c r="G13" s="50"/>
      <c r="H13" s="52"/>
      <c r="I13" s="42" t="n">
        <f aca="false">IF(H13&lt;&gt;"",H13,IF(E13&lt;&gt;"",IFERROR(VLOOKUP(E13,Assumptions!$E$5:$F$12,2,FALSE()),0),0))</f>
        <v>0</v>
      </c>
      <c r="J13" s="42" t="str">
        <f aca="false">IF(F13="","",F13*I13)</f>
        <v/>
      </c>
      <c r="K13" s="53"/>
      <c r="L13" s="42" t="str">
        <f aca="false">IF(J13="","",J13*IF(K13="",Assumptions!$B$6,K13))</f>
        <v/>
      </c>
      <c r="M13" s="44" t="str">
        <f aca="false">IF(J13="","",J13+L13)</f>
        <v/>
      </c>
      <c r="N13" s="52"/>
      <c r="O13" s="52"/>
      <c r="P13" s="52"/>
      <c r="Q13" s="42" t="str">
        <f aca="false">IF(AND(O13="",P13=""),"",N(O13)+N(P13))</f>
        <v/>
      </c>
      <c r="R13" s="42" t="str">
        <f aca="false">IF(OR(M13="",Q13=""),"",M13-Q13)</f>
        <v/>
      </c>
      <c r="S13" s="45" t="str">
        <f aca="false">IF(OR(R13="",N(M13)=0),"",R13/M13)</f>
        <v/>
      </c>
    </row>
    <row r="14" customFormat="false" ht="15" hidden="false" customHeight="false" outlineLevel="0" collapsed="false">
      <c r="A14" s="54"/>
      <c r="B14" s="54"/>
      <c r="C14" s="54"/>
      <c r="D14" s="54"/>
      <c r="E14" s="54"/>
      <c r="F14" s="55"/>
      <c r="G14" s="54"/>
      <c r="H14" s="56"/>
      <c r="I14" s="42" t="n">
        <f aca="false">IF(H14&lt;&gt;"",H14,IF(E14&lt;&gt;"",IFERROR(VLOOKUP(E14,Assumptions!$E$5:$F$12,2,FALSE()),0),0))</f>
        <v>0</v>
      </c>
      <c r="J14" s="42" t="str">
        <f aca="false">IF(F14="","",F14*I14)</f>
        <v/>
      </c>
      <c r="K14" s="57"/>
      <c r="L14" s="42" t="str">
        <f aca="false">IF(J14="","",J14*IF(K14="",Assumptions!$B$6,K14))</f>
        <v/>
      </c>
      <c r="M14" s="44" t="str">
        <f aca="false">IF(J14="","",J14+L14)</f>
        <v/>
      </c>
      <c r="N14" s="56"/>
      <c r="O14" s="56"/>
      <c r="P14" s="56"/>
      <c r="Q14" s="42" t="str">
        <f aca="false">IF(AND(O14="",P14=""),"",N(O14)+N(P14))</f>
        <v/>
      </c>
      <c r="R14" s="42" t="str">
        <f aca="false">IF(OR(M14="",Q14=""),"",M14-Q14)</f>
        <v/>
      </c>
      <c r="S14" s="45" t="str">
        <f aca="false">IF(OR(R14="",N(M14)=0),"",R14/M14)</f>
        <v/>
      </c>
    </row>
    <row r="15" customFormat="false" ht="15" hidden="false" customHeight="false" outlineLevel="0" collapsed="false">
      <c r="A15" s="50"/>
      <c r="B15" s="50"/>
      <c r="C15" s="50"/>
      <c r="D15" s="50"/>
      <c r="E15" s="50"/>
      <c r="F15" s="51"/>
      <c r="G15" s="50"/>
      <c r="H15" s="52"/>
      <c r="I15" s="42" t="n">
        <f aca="false">IF(H15&lt;&gt;"",H15,IF(E15&lt;&gt;"",IFERROR(VLOOKUP(E15,Assumptions!$E$5:$F$12,2,FALSE()),0),0))</f>
        <v>0</v>
      </c>
      <c r="J15" s="42" t="str">
        <f aca="false">IF(F15="","",F15*I15)</f>
        <v/>
      </c>
      <c r="K15" s="53"/>
      <c r="L15" s="42" t="str">
        <f aca="false">IF(J15="","",J15*IF(K15="",Assumptions!$B$6,K15))</f>
        <v/>
      </c>
      <c r="M15" s="44" t="str">
        <f aca="false">IF(J15="","",J15+L15)</f>
        <v/>
      </c>
      <c r="N15" s="52"/>
      <c r="O15" s="52"/>
      <c r="P15" s="52"/>
      <c r="Q15" s="42" t="str">
        <f aca="false">IF(AND(O15="",P15=""),"",N(O15)+N(P15))</f>
        <v/>
      </c>
      <c r="R15" s="42" t="str">
        <f aca="false">IF(OR(M15="",Q15=""),"",M15-Q15)</f>
        <v/>
      </c>
      <c r="S15" s="45" t="str">
        <f aca="false">IF(OR(R15="",N(M15)=0),"",R15/M15)</f>
        <v/>
      </c>
    </row>
    <row r="16" customFormat="false" ht="15" hidden="false" customHeight="false" outlineLevel="0" collapsed="false">
      <c r="A16" s="54"/>
      <c r="B16" s="54"/>
      <c r="C16" s="54"/>
      <c r="D16" s="54"/>
      <c r="E16" s="54"/>
      <c r="F16" s="55"/>
      <c r="G16" s="54"/>
      <c r="H16" s="56"/>
      <c r="I16" s="42" t="n">
        <f aca="false">IF(H16&lt;&gt;"",H16,IF(E16&lt;&gt;"",IFERROR(VLOOKUP(E16,Assumptions!$E$5:$F$12,2,FALSE()),0),0))</f>
        <v>0</v>
      </c>
      <c r="J16" s="42" t="str">
        <f aca="false">IF(F16="","",F16*I16)</f>
        <v/>
      </c>
      <c r="K16" s="57"/>
      <c r="L16" s="42" t="str">
        <f aca="false">IF(J16="","",J16*IF(K16="",Assumptions!$B$6,K16))</f>
        <v/>
      </c>
      <c r="M16" s="44" t="str">
        <f aca="false">IF(J16="","",J16+L16)</f>
        <v/>
      </c>
      <c r="N16" s="56"/>
      <c r="O16" s="56"/>
      <c r="P16" s="56"/>
      <c r="Q16" s="42" t="str">
        <f aca="false">IF(AND(O16="",P16=""),"",N(O16)+N(P16))</f>
        <v/>
      </c>
      <c r="R16" s="42" t="str">
        <f aca="false">IF(OR(M16="",Q16=""),"",M16-Q16)</f>
        <v/>
      </c>
      <c r="S16" s="45" t="str">
        <f aca="false">IF(OR(R16="",N(M16)=0),"",R16/M16)</f>
        <v/>
      </c>
    </row>
    <row r="17" customFormat="false" ht="15" hidden="false" customHeight="false" outlineLevel="0" collapsed="false">
      <c r="A17" s="50"/>
      <c r="B17" s="50"/>
      <c r="C17" s="50"/>
      <c r="D17" s="50"/>
      <c r="E17" s="50"/>
      <c r="F17" s="51"/>
      <c r="G17" s="50"/>
      <c r="H17" s="52"/>
      <c r="I17" s="42" t="n">
        <f aca="false">IF(H17&lt;&gt;"",H17,IF(E17&lt;&gt;"",IFERROR(VLOOKUP(E17,Assumptions!$E$5:$F$12,2,FALSE()),0),0))</f>
        <v>0</v>
      </c>
      <c r="J17" s="42" t="str">
        <f aca="false">IF(F17="","",F17*I17)</f>
        <v/>
      </c>
      <c r="K17" s="53"/>
      <c r="L17" s="42" t="str">
        <f aca="false">IF(J17="","",J17*IF(K17="",Assumptions!$B$6,K17))</f>
        <v/>
      </c>
      <c r="M17" s="44" t="str">
        <f aca="false">IF(J17="","",J17+L17)</f>
        <v/>
      </c>
      <c r="N17" s="52"/>
      <c r="O17" s="52"/>
      <c r="P17" s="52"/>
      <c r="Q17" s="42" t="str">
        <f aca="false">IF(AND(O17="",P17=""),"",N(O17)+N(P17))</f>
        <v/>
      </c>
      <c r="R17" s="42" t="str">
        <f aca="false">IF(OR(M17="",Q17=""),"",M17-Q17)</f>
        <v/>
      </c>
      <c r="S17" s="45" t="str">
        <f aca="false">IF(OR(R17="",N(M17)=0),"",R17/M17)</f>
        <v/>
      </c>
    </row>
    <row r="18" customFormat="false" ht="15" hidden="false" customHeight="false" outlineLevel="0" collapsed="false">
      <c r="A18" s="54"/>
      <c r="B18" s="54"/>
      <c r="C18" s="54"/>
      <c r="D18" s="54"/>
      <c r="E18" s="54"/>
      <c r="F18" s="55"/>
      <c r="G18" s="54"/>
      <c r="H18" s="56"/>
      <c r="I18" s="42" t="n">
        <f aca="false">IF(H18&lt;&gt;"",H18,IF(E18&lt;&gt;"",IFERROR(VLOOKUP(E18,Assumptions!$E$5:$F$12,2,FALSE()),0),0))</f>
        <v>0</v>
      </c>
      <c r="J18" s="42" t="str">
        <f aca="false">IF(F18="","",F18*I18)</f>
        <v/>
      </c>
      <c r="K18" s="57"/>
      <c r="L18" s="42" t="str">
        <f aca="false">IF(J18="","",J18*IF(K18="",Assumptions!$B$6,K18))</f>
        <v/>
      </c>
      <c r="M18" s="44" t="str">
        <f aca="false">IF(J18="","",J18+L18)</f>
        <v/>
      </c>
      <c r="N18" s="56"/>
      <c r="O18" s="56"/>
      <c r="P18" s="56"/>
      <c r="Q18" s="42" t="str">
        <f aca="false">IF(AND(O18="",P18=""),"",N(O18)+N(P18))</f>
        <v/>
      </c>
      <c r="R18" s="42" t="str">
        <f aca="false">IF(OR(M18="",Q18=""),"",M18-Q18)</f>
        <v/>
      </c>
      <c r="S18" s="45" t="str">
        <f aca="false">IF(OR(R18="",N(M18)=0),"",R18/M18)</f>
        <v/>
      </c>
    </row>
    <row r="19" customFormat="false" ht="15" hidden="false" customHeight="false" outlineLevel="0" collapsed="false">
      <c r="A19" s="50"/>
      <c r="B19" s="50"/>
      <c r="C19" s="50"/>
      <c r="D19" s="50"/>
      <c r="E19" s="50"/>
      <c r="F19" s="51"/>
      <c r="G19" s="50"/>
      <c r="H19" s="52"/>
      <c r="I19" s="42" t="n">
        <f aca="false">IF(H19&lt;&gt;"",H19,IF(E19&lt;&gt;"",IFERROR(VLOOKUP(E19,Assumptions!$E$5:$F$12,2,FALSE()),0),0))</f>
        <v>0</v>
      </c>
      <c r="J19" s="42" t="str">
        <f aca="false">IF(F19="","",F19*I19)</f>
        <v/>
      </c>
      <c r="K19" s="53"/>
      <c r="L19" s="42" t="str">
        <f aca="false">IF(J19="","",J19*IF(K19="",Assumptions!$B$6,K19))</f>
        <v/>
      </c>
      <c r="M19" s="44" t="str">
        <f aca="false">IF(J19="","",J19+L19)</f>
        <v/>
      </c>
      <c r="N19" s="52"/>
      <c r="O19" s="52"/>
      <c r="P19" s="52"/>
      <c r="Q19" s="42" t="str">
        <f aca="false">IF(AND(O19="",P19=""),"",N(O19)+N(P19))</f>
        <v/>
      </c>
      <c r="R19" s="42" t="str">
        <f aca="false">IF(OR(M19="",Q19=""),"",M19-Q19)</f>
        <v/>
      </c>
      <c r="S19" s="45" t="str">
        <f aca="false">IF(OR(R19="",N(M19)=0),"",R19/M19)</f>
        <v/>
      </c>
    </row>
    <row r="20" customFormat="false" ht="15" hidden="false" customHeight="false" outlineLevel="0" collapsed="false">
      <c r="A20" s="54"/>
      <c r="B20" s="54"/>
      <c r="C20" s="54"/>
      <c r="D20" s="54"/>
      <c r="E20" s="54"/>
      <c r="F20" s="55"/>
      <c r="G20" s="54"/>
      <c r="H20" s="56"/>
      <c r="I20" s="42" t="n">
        <f aca="false">IF(H20&lt;&gt;"",H20,IF(E20&lt;&gt;"",IFERROR(VLOOKUP(E20,Assumptions!$E$5:$F$12,2,FALSE()),0),0))</f>
        <v>0</v>
      </c>
      <c r="J20" s="42" t="str">
        <f aca="false">IF(F20="","",F20*I20)</f>
        <v/>
      </c>
      <c r="K20" s="57"/>
      <c r="L20" s="42" t="str">
        <f aca="false">IF(J20="","",J20*IF(K20="",Assumptions!$B$6,K20))</f>
        <v/>
      </c>
      <c r="M20" s="44" t="str">
        <f aca="false">IF(J20="","",J20+L20)</f>
        <v/>
      </c>
      <c r="N20" s="56"/>
      <c r="O20" s="56"/>
      <c r="P20" s="56"/>
      <c r="Q20" s="42" t="str">
        <f aca="false">IF(AND(O20="",P20=""),"",N(O20)+N(P20))</f>
        <v/>
      </c>
      <c r="R20" s="42" t="str">
        <f aca="false">IF(OR(M20="",Q20=""),"",M20-Q20)</f>
        <v/>
      </c>
      <c r="S20" s="45" t="str">
        <f aca="false">IF(OR(R20="",N(M20)=0),"",R20/M20)</f>
        <v/>
      </c>
    </row>
    <row r="21" customFormat="false" ht="15" hidden="false" customHeight="false" outlineLevel="0" collapsed="false">
      <c r="A21" s="50"/>
      <c r="B21" s="50"/>
      <c r="C21" s="50"/>
      <c r="D21" s="50"/>
      <c r="E21" s="50"/>
      <c r="F21" s="51"/>
      <c r="G21" s="50"/>
      <c r="H21" s="52"/>
      <c r="I21" s="42" t="n">
        <f aca="false">IF(H21&lt;&gt;"",H21,IF(E21&lt;&gt;"",IFERROR(VLOOKUP(E21,Assumptions!$E$5:$F$12,2,FALSE()),0),0))</f>
        <v>0</v>
      </c>
      <c r="J21" s="42" t="str">
        <f aca="false">IF(F21="","",F21*I21)</f>
        <v/>
      </c>
      <c r="K21" s="53"/>
      <c r="L21" s="42" t="str">
        <f aca="false">IF(J21="","",J21*IF(K21="",Assumptions!$B$6,K21))</f>
        <v/>
      </c>
      <c r="M21" s="44" t="str">
        <f aca="false">IF(J21="","",J21+L21)</f>
        <v/>
      </c>
      <c r="N21" s="52"/>
      <c r="O21" s="52"/>
      <c r="P21" s="52"/>
      <c r="Q21" s="42" t="str">
        <f aca="false">IF(AND(O21="",P21=""),"",N(O21)+N(P21))</f>
        <v/>
      </c>
      <c r="R21" s="42" t="str">
        <f aca="false">IF(OR(M21="",Q21=""),"",M21-Q21)</f>
        <v/>
      </c>
      <c r="S21" s="45" t="str">
        <f aca="false">IF(OR(R21="",N(M21)=0),"",R21/M21)</f>
        <v/>
      </c>
    </row>
    <row r="22" customFormat="false" ht="15" hidden="false" customHeight="false" outlineLevel="0" collapsed="false">
      <c r="A22" s="54"/>
      <c r="B22" s="54"/>
      <c r="C22" s="54"/>
      <c r="D22" s="54"/>
      <c r="E22" s="54"/>
      <c r="F22" s="55"/>
      <c r="G22" s="54"/>
      <c r="H22" s="56"/>
      <c r="I22" s="42" t="n">
        <f aca="false">IF(H22&lt;&gt;"",H22,IF(E22&lt;&gt;"",IFERROR(VLOOKUP(E22,Assumptions!$E$5:$F$12,2,FALSE()),0),0))</f>
        <v>0</v>
      </c>
      <c r="J22" s="42" t="str">
        <f aca="false">IF(F22="","",F22*I22)</f>
        <v/>
      </c>
      <c r="K22" s="57"/>
      <c r="L22" s="42" t="str">
        <f aca="false">IF(J22="","",J22*IF(K22="",Assumptions!$B$6,K22))</f>
        <v/>
      </c>
      <c r="M22" s="44" t="str">
        <f aca="false">IF(J22="","",J22+L22)</f>
        <v/>
      </c>
      <c r="N22" s="56"/>
      <c r="O22" s="56"/>
      <c r="P22" s="56"/>
      <c r="Q22" s="42" t="str">
        <f aca="false">IF(AND(O22="",P22=""),"",N(O22)+N(P22))</f>
        <v/>
      </c>
      <c r="R22" s="42" t="str">
        <f aca="false">IF(OR(M22="",Q22=""),"",M22-Q22)</f>
        <v/>
      </c>
      <c r="S22" s="45" t="str">
        <f aca="false">IF(OR(R22="",N(M22)=0),"",R22/M22)</f>
        <v/>
      </c>
    </row>
    <row r="23" customFormat="false" ht="15" hidden="false" customHeight="false" outlineLevel="0" collapsed="false">
      <c r="A23" s="50"/>
      <c r="B23" s="50"/>
      <c r="C23" s="50"/>
      <c r="D23" s="50"/>
      <c r="E23" s="50"/>
      <c r="F23" s="51"/>
      <c r="G23" s="50"/>
      <c r="H23" s="52"/>
      <c r="I23" s="42" t="n">
        <f aca="false">IF(H23&lt;&gt;"",H23,IF(E23&lt;&gt;"",IFERROR(VLOOKUP(E23,Assumptions!$E$5:$F$12,2,FALSE()),0),0))</f>
        <v>0</v>
      </c>
      <c r="J23" s="42" t="str">
        <f aca="false">IF(F23="","",F23*I23)</f>
        <v/>
      </c>
      <c r="K23" s="53"/>
      <c r="L23" s="42" t="str">
        <f aca="false">IF(J23="","",J23*IF(K23="",Assumptions!$B$6,K23))</f>
        <v/>
      </c>
      <c r="M23" s="44" t="str">
        <f aca="false">IF(J23="","",J23+L23)</f>
        <v/>
      </c>
      <c r="N23" s="52"/>
      <c r="O23" s="52"/>
      <c r="P23" s="52"/>
      <c r="Q23" s="42" t="str">
        <f aca="false">IF(AND(O23="",P23=""),"",N(O23)+N(P23))</f>
        <v/>
      </c>
      <c r="R23" s="42" t="str">
        <f aca="false">IF(OR(M23="",Q23=""),"",M23-Q23)</f>
        <v/>
      </c>
      <c r="S23" s="45" t="str">
        <f aca="false">IF(OR(R23="",N(M23)=0),"",R23/M23)</f>
        <v/>
      </c>
    </row>
    <row r="24" customFormat="false" ht="15" hidden="false" customHeight="false" outlineLevel="0" collapsed="false">
      <c r="A24" s="54"/>
      <c r="B24" s="54"/>
      <c r="C24" s="54"/>
      <c r="D24" s="54"/>
      <c r="E24" s="54"/>
      <c r="F24" s="55"/>
      <c r="G24" s="54"/>
      <c r="H24" s="56"/>
      <c r="I24" s="42" t="n">
        <f aca="false">IF(H24&lt;&gt;"",H24,IF(E24&lt;&gt;"",IFERROR(VLOOKUP(E24,Assumptions!$E$5:$F$12,2,FALSE()),0),0))</f>
        <v>0</v>
      </c>
      <c r="J24" s="42" t="str">
        <f aca="false">IF(F24="","",F24*I24)</f>
        <v/>
      </c>
      <c r="K24" s="57"/>
      <c r="L24" s="42" t="str">
        <f aca="false">IF(J24="","",J24*IF(K24="",Assumptions!$B$6,K24))</f>
        <v/>
      </c>
      <c r="M24" s="44" t="str">
        <f aca="false">IF(J24="","",J24+L24)</f>
        <v/>
      </c>
      <c r="N24" s="56"/>
      <c r="O24" s="56"/>
      <c r="P24" s="56"/>
      <c r="Q24" s="42" t="str">
        <f aca="false">IF(AND(O24="",P24=""),"",N(O24)+N(P24))</f>
        <v/>
      </c>
      <c r="R24" s="42" t="str">
        <f aca="false">IF(OR(M24="",Q24=""),"",M24-Q24)</f>
        <v/>
      </c>
      <c r="S24" s="45" t="str">
        <f aca="false">IF(OR(R24="",N(M24)=0),"",R24/M24)</f>
        <v/>
      </c>
    </row>
    <row r="25" customFormat="false" ht="15" hidden="false" customHeight="false" outlineLevel="0" collapsed="false">
      <c r="A25" s="50"/>
      <c r="B25" s="50"/>
      <c r="C25" s="50"/>
      <c r="D25" s="50"/>
      <c r="E25" s="50"/>
      <c r="F25" s="51"/>
      <c r="G25" s="50"/>
      <c r="H25" s="52"/>
      <c r="I25" s="42" t="n">
        <f aca="false">IF(H25&lt;&gt;"",H25,IF(E25&lt;&gt;"",IFERROR(VLOOKUP(E25,Assumptions!$E$5:$F$12,2,FALSE()),0),0))</f>
        <v>0</v>
      </c>
      <c r="J25" s="42" t="str">
        <f aca="false">IF(F25="","",F25*I25)</f>
        <v/>
      </c>
      <c r="K25" s="53"/>
      <c r="L25" s="42" t="str">
        <f aca="false">IF(J25="","",J25*IF(K25="",Assumptions!$B$6,K25))</f>
        <v/>
      </c>
      <c r="M25" s="44" t="str">
        <f aca="false">IF(J25="","",J25+L25)</f>
        <v/>
      </c>
      <c r="N25" s="52"/>
      <c r="O25" s="52"/>
      <c r="P25" s="52"/>
      <c r="Q25" s="42" t="str">
        <f aca="false">IF(AND(O25="",P25=""),"",N(O25)+N(P25))</f>
        <v/>
      </c>
      <c r="R25" s="42" t="str">
        <f aca="false">IF(OR(M25="",Q25=""),"",M25-Q25)</f>
        <v/>
      </c>
      <c r="S25" s="45" t="str">
        <f aca="false">IF(OR(R25="",N(M25)=0),"",R25/M25)</f>
        <v/>
      </c>
    </row>
    <row r="26" customFormat="false" ht="15" hidden="false" customHeight="false" outlineLevel="0" collapsed="false">
      <c r="A26" s="54"/>
      <c r="B26" s="54"/>
      <c r="C26" s="54"/>
      <c r="D26" s="54"/>
      <c r="E26" s="54"/>
      <c r="F26" s="55"/>
      <c r="G26" s="54"/>
      <c r="H26" s="56"/>
      <c r="I26" s="42" t="n">
        <f aca="false">IF(H26&lt;&gt;"",H26,IF(E26&lt;&gt;"",IFERROR(VLOOKUP(E26,Assumptions!$E$5:$F$12,2,FALSE()),0),0))</f>
        <v>0</v>
      </c>
      <c r="J26" s="42" t="str">
        <f aca="false">IF(F26="","",F26*I26)</f>
        <v/>
      </c>
      <c r="K26" s="57"/>
      <c r="L26" s="42" t="str">
        <f aca="false">IF(J26="","",J26*IF(K26="",Assumptions!$B$6,K26))</f>
        <v/>
      </c>
      <c r="M26" s="44" t="str">
        <f aca="false">IF(J26="","",J26+L26)</f>
        <v/>
      </c>
      <c r="N26" s="56"/>
      <c r="O26" s="56"/>
      <c r="P26" s="56"/>
      <c r="Q26" s="42" t="str">
        <f aca="false">IF(AND(O26="",P26=""),"",N(O26)+N(P26))</f>
        <v/>
      </c>
      <c r="R26" s="42" t="str">
        <f aca="false">IF(OR(M26="",Q26=""),"",M26-Q26)</f>
        <v/>
      </c>
      <c r="S26" s="45" t="str">
        <f aca="false">IF(OR(R26="",N(M26)=0),"",R26/M26)</f>
        <v/>
      </c>
    </row>
    <row r="27" customFormat="false" ht="15" hidden="false" customHeight="false" outlineLevel="0" collapsed="false">
      <c r="A27" s="50"/>
      <c r="B27" s="50"/>
      <c r="C27" s="50"/>
      <c r="D27" s="50"/>
      <c r="E27" s="50"/>
      <c r="F27" s="51"/>
      <c r="G27" s="50"/>
      <c r="H27" s="52"/>
      <c r="I27" s="42" t="n">
        <f aca="false">IF(H27&lt;&gt;"",H27,IF(E27&lt;&gt;"",IFERROR(VLOOKUP(E27,Assumptions!$E$5:$F$12,2,FALSE()),0),0))</f>
        <v>0</v>
      </c>
      <c r="J27" s="42" t="str">
        <f aca="false">IF(F27="","",F27*I27)</f>
        <v/>
      </c>
      <c r="K27" s="53"/>
      <c r="L27" s="42" t="str">
        <f aca="false">IF(J27="","",J27*IF(K27="",Assumptions!$B$6,K27))</f>
        <v/>
      </c>
      <c r="M27" s="44" t="str">
        <f aca="false">IF(J27="","",J27+L27)</f>
        <v/>
      </c>
      <c r="N27" s="52"/>
      <c r="O27" s="52"/>
      <c r="P27" s="52"/>
      <c r="Q27" s="42" t="str">
        <f aca="false">IF(AND(O27="",P27=""),"",N(O27)+N(P27))</f>
        <v/>
      </c>
      <c r="R27" s="42" t="str">
        <f aca="false">IF(OR(M27="",Q27=""),"",M27-Q27)</f>
        <v/>
      </c>
      <c r="S27" s="45" t="str">
        <f aca="false">IF(OR(R27="",N(M27)=0),"",R27/M27)</f>
        <v/>
      </c>
    </row>
    <row r="28" customFormat="false" ht="15" hidden="false" customHeight="false" outlineLevel="0" collapsed="false">
      <c r="A28" s="54"/>
      <c r="B28" s="54"/>
      <c r="C28" s="54"/>
      <c r="D28" s="54"/>
      <c r="E28" s="54"/>
      <c r="F28" s="55"/>
      <c r="G28" s="54"/>
      <c r="H28" s="56"/>
      <c r="I28" s="42" t="n">
        <f aca="false">IF(H28&lt;&gt;"",H28,IF(E28&lt;&gt;"",IFERROR(VLOOKUP(E28,Assumptions!$E$5:$F$12,2,FALSE()),0),0))</f>
        <v>0</v>
      </c>
      <c r="J28" s="42" t="str">
        <f aca="false">IF(F28="","",F28*I28)</f>
        <v/>
      </c>
      <c r="K28" s="57"/>
      <c r="L28" s="42" t="str">
        <f aca="false">IF(J28="","",J28*IF(K28="",Assumptions!$B$6,K28))</f>
        <v/>
      </c>
      <c r="M28" s="44" t="str">
        <f aca="false">IF(J28="","",J28+L28)</f>
        <v/>
      </c>
      <c r="N28" s="56"/>
      <c r="O28" s="56"/>
      <c r="P28" s="56"/>
      <c r="Q28" s="42" t="str">
        <f aca="false">IF(AND(O28="",P28=""),"",N(O28)+N(P28))</f>
        <v/>
      </c>
      <c r="R28" s="42" t="str">
        <f aca="false">IF(OR(M28="",Q28=""),"",M28-Q28)</f>
        <v/>
      </c>
      <c r="S28" s="45" t="str">
        <f aca="false">IF(OR(R28="",N(M28)=0),"",R28/M28)</f>
        <v/>
      </c>
    </row>
    <row r="29" customFormat="false" ht="15" hidden="false" customHeight="false" outlineLevel="0" collapsed="false">
      <c r="A29" s="50"/>
      <c r="B29" s="50"/>
      <c r="C29" s="50"/>
      <c r="D29" s="50"/>
      <c r="E29" s="50"/>
      <c r="F29" s="51"/>
      <c r="G29" s="50"/>
      <c r="H29" s="52"/>
      <c r="I29" s="42" t="n">
        <f aca="false">IF(H29&lt;&gt;"",H29,IF(E29&lt;&gt;"",IFERROR(VLOOKUP(E29,Assumptions!$E$5:$F$12,2,FALSE()),0),0))</f>
        <v>0</v>
      </c>
      <c r="J29" s="42" t="str">
        <f aca="false">IF(F29="","",F29*I29)</f>
        <v/>
      </c>
      <c r="K29" s="53"/>
      <c r="L29" s="42" t="str">
        <f aca="false">IF(J29="","",J29*IF(K29="",Assumptions!$B$6,K29))</f>
        <v/>
      </c>
      <c r="M29" s="44" t="str">
        <f aca="false">IF(J29="","",J29+L29)</f>
        <v/>
      </c>
      <c r="N29" s="52"/>
      <c r="O29" s="52"/>
      <c r="P29" s="52"/>
      <c r="Q29" s="42" t="str">
        <f aca="false">IF(AND(O29="",P29=""),"",N(O29)+N(P29))</f>
        <v/>
      </c>
      <c r="R29" s="42" t="str">
        <f aca="false">IF(OR(M29="",Q29=""),"",M29-Q29)</f>
        <v/>
      </c>
      <c r="S29" s="45" t="str">
        <f aca="false">IF(OR(R29="",N(M29)=0),"",R29/M29)</f>
        <v/>
      </c>
    </row>
    <row r="30" customFormat="false" ht="15" hidden="false" customHeight="false" outlineLevel="0" collapsed="false">
      <c r="A30" s="54"/>
      <c r="B30" s="54"/>
      <c r="C30" s="54"/>
      <c r="D30" s="54"/>
      <c r="E30" s="54"/>
      <c r="F30" s="55"/>
      <c r="G30" s="54"/>
      <c r="H30" s="56"/>
      <c r="I30" s="42" t="n">
        <f aca="false">IF(H30&lt;&gt;"",H30,IF(E30&lt;&gt;"",IFERROR(VLOOKUP(E30,Assumptions!$E$5:$F$12,2,FALSE()),0),0))</f>
        <v>0</v>
      </c>
      <c r="J30" s="42" t="str">
        <f aca="false">IF(F30="","",F30*I30)</f>
        <v/>
      </c>
      <c r="K30" s="57"/>
      <c r="L30" s="42" t="str">
        <f aca="false">IF(J30="","",J30*IF(K30="",Assumptions!$B$6,K30))</f>
        <v/>
      </c>
      <c r="M30" s="44" t="str">
        <f aca="false">IF(J30="","",J30+L30)</f>
        <v/>
      </c>
      <c r="N30" s="56"/>
      <c r="O30" s="56"/>
      <c r="P30" s="56"/>
      <c r="Q30" s="42" t="str">
        <f aca="false">IF(AND(O30="",P30=""),"",N(O30)+N(P30))</f>
        <v/>
      </c>
      <c r="R30" s="42" t="str">
        <f aca="false">IF(OR(M30="",Q30=""),"",M30-Q30)</f>
        <v/>
      </c>
      <c r="S30" s="45" t="str">
        <f aca="false">IF(OR(R30="",N(M30)=0),"",R30/M30)</f>
        <v/>
      </c>
    </row>
    <row r="31" customFormat="false" ht="15" hidden="false" customHeight="false" outlineLevel="0" collapsed="false">
      <c r="A31" s="50"/>
      <c r="B31" s="50"/>
      <c r="C31" s="50"/>
      <c r="D31" s="50"/>
      <c r="E31" s="50"/>
      <c r="F31" s="51"/>
      <c r="G31" s="50"/>
      <c r="H31" s="52"/>
      <c r="I31" s="42" t="n">
        <f aca="false">IF(H31&lt;&gt;"",H31,IF(E31&lt;&gt;"",IFERROR(VLOOKUP(E31,Assumptions!$E$5:$F$12,2,FALSE()),0),0))</f>
        <v>0</v>
      </c>
      <c r="J31" s="42" t="str">
        <f aca="false">IF(F31="","",F31*I31)</f>
        <v/>
      </c>
      <c r="K31" s="53"/>
      <c r="L31" s="42" t="str">
        <f aca="false">IF(J31="","",J31*IF(K31="",Assumptions!$B$6,K31))</f>
        <v/>
      </c>
      <c r="M31" s="44" t="str">
        <f aca="false">IF(J31="","",J31+L31)</f>
        <v/>
      </c>
      <c r="N31" s="52"/>
      <c r="O31" s="52"/>
      <c r="P31" s="52"/>
      <c r="Q31" s="42" t="str">
        <f aca="false">IF(AND(O31="",P31=""),"",N(O31)+N(P31))</f>
        <v/>
      </c>
      <c r="R31" s="42" t="str">
        <f aca="false">IF(OR(M31="",Q31=""),"",M31-Q31)</f>
        <v/>
      </c>
      <c r="S31" s="45" t="str">
        <f aca="false">IF(OR(R31="",N(M31)=0),"",R31/M31)</f>
        <v/>
      </c>
    </row>
    <row r="32" customFormat="false" ht="15" hidden="false" customHeight="false" outlineLevel="0" collapsed="false">
      <c r="A32" s="54"/>
      <c r="B32" s="54"/>
      <c r="C32" s="54"/>
      <c r="D32" s="54"/>
      <c r="E32" s="54"/>
      <c r="F32" s="55"/>
      <c r="G32" s="54"/>
      <c r="H32" s="56"/>
      <c r="I32" s="42" t="n">
        <f aca="false">IF(H32&lt;&gt;"",H32,IF(E32&lt;&gt;"",IFERROR(VLOOKUP(E32,Assumptions!$E$5:$F$12,2,FALSE()),0),0))</f>
        <v>0</v>
      </c>
      <c r="J32" s="42" t="str">
        <f aca="false">IF(F32="","",F32*I32)</f>
        <v/>
      </c>
      <c r="K32" s="57"/>
      <c r="L32" s="42" t="str">
        <f aca="false">IF(J32="","",J32*IF(K32="",Assumptions!$B$6,K32))</f>
        <v/>
      </c>
      <c r="M32" s="44" t="str">
        <f aca="false">IF(J32="","",J32+L32)</f>
        <v/>
      </c>
      <c r="N32" s="56"/>
      <c r="O32" s="56"/>
      <c r="P32" s="56"/>
      <c r="Q32" s="42" t="str">
        <f aca="false">IF(AND(O32="",P32=""),"",N(O32)+N(P32))</f>
        <v/>
      </c>
      <c r="R32" s="42" t="str">
        <f aca="false">IF(OR(M32="",Q32=""),"",M32-Q32)</f>
        <v/>
      </c>
      <c r="S32" s="45" t="str">
        <f aca="false">IF(OR(R32="",N(M32)=0),"",R32/M32)</f>
        <v/>
      </c>
    </row>
    <row r="33" customFormat="false" ht="15" hidden="false" customHeight="false" outlineLevel="0" collapsed="false">
      <c r="A33" s="50"/>
      <c r="B33" s="50"/>
      <c r="C33" s="50"/>
      <c r="D33" s="50"/>
      <c r="E33" s="50"/>
      <c r="F33" s="51"/>
      <c r="G33" s="50"/>
      <c r="H33" s="52"/>
      <c r="I33" s="42" t="n">
        <f aca="false">IF(H33&lt;&gt;"",H33,IF(E33&lt;&gt;"",IFERROR(VLOOKUP(E33,Assumptions!$E$5:$F$12,2,FALSE()),0),0))</f>
        <v>0</v>
      </c>
      <c r="J33" s="42" t="str">
        <f aca="false">IF(F33="","",F33*I33)</f>
        <v/>
      </c>
      <c r="K33" s="53"/>
      <c r="L33" s="42" t="str">
        <f aca="false">IF(J33="","",J33*IF(K33="",Assumptions!$B$6,K33))</f>
        <v/>
      </c>
      <c r="M33" s="44" t="str">
        <f aca="false">IF(J33="","",J33+L33)</f>
        <v/>
      </c>
      <c r="N33" s="52"/>
      <c r="O33" s="52"/>
      <c r="P33" s="52"/>
      <c r="Q33" s="42" t="str">
        <f aca="false">IF(AND(O33="",P33=""),"",N(O33)+N(P33))</f>
        <v/>
      </c>
      <c r="R33" s="42" t="str">
        <f aca="false">IF(OR(M33="",Q33=""),"",M33-Q33)</f>
        <v/>
      </c>
      <c r="S33" s="45" t="str">
        <f aca="false">IF(OR(R33="",N(M33)=0),"",R33/M33)</f>
        <v/>
      </c>
    </row>
    <row r="34" customFormat="false" ht="15" hidden="false" customHeight="false" outlineLevel="0" collapsed="false">
      <c r="A34" s="54"/>
      <c r="B34" s="54"/>
      <c r="C34" s="54"/>
      <c r="D34" s="54"/>
      <c r="E34" s="54"/>
      <c r="F34" s="55"/>
      <c r="G34" s="54"/>
      <c r="H34" s="56"/>
      <c r="I34" s="42" t="n">
        <f aca="false">IF(H34&lt;&gt;"",H34,IF(E34&lt;&gt;"",IFERROR(VLOOKUP(E34,Assumptions!$E$5:$F$12,2,FALSE()),0),0))</f>
        <v>0</v>
      </c>
      <c r="J34" s="42" t="str">
        <f aca="false">IF(F34="","",F34*I34)</f>
        <v/>
      </c>
      <c r="K34" s="57"/>
      <c r="L34" s="42" t="str">
        <f aca="false">IF(J34="","",J34*IF(K34="",Assumptions!$B$6,K34))</f>
        <v/>
      </c>
      <c r="M34" s="44" t="str">
        <f aca="false">IF(J34="","",J34+L34)</f>
        <v/>
      </c>
      <c r="N34" s="56"/>
      <c r="O34" s="56"/>
      <c r="P34" s="56"/>
      <c r="Q34" s="42" t="str">
        <f aca="false">IF(AND(O34="",P34=""),"",N(O34)+N(P34))</f>
        <v/>
      </c>
      <c r="R34" s="42" t="str">
        <f aca="false">IF(OR(M34="",Q34=""),"",M34-Q34)</f>
        <v/>
      </c>
      <c r="S34" s="45" t="str">
        <f aca="false">IF(OR(R34="",N(M34)=0),"",R34/M34)</f>
        <v/>
      </c>
    </row>
    <row r="35" customFormat="false" ht="15" hidden="false" customHeight="false" outlineLevel="0" collapsed="false">
      <c r="A35" s="50"/>
      <c r="B35" s="50"/>
      <c r="C35" s="50"/>
      <c r="D35" s="50"/>
      <c r="E35" s="50"/>
      <c r="F35" s="51"/>
      <c r="G35" s="50"/>
      <c r="H35" s="52"/>
      <c r="I35" s="42" t="n">
        <f aca="false">IF(H35&lt;&gt;"",H35,IF(E35&lt;&gt;"",IFERROR(VLOOKUP(E35,Assumptions!$E$5:$F$12,2,FALSE()),0),0))</f>
        <v>0</v>
      </c>
      <c r="J35" s="42" t="str">
        <f aca="false">IF(F35="","",F35*I35)</f>
        <v/>
      </c>
      <c r="K35" s="53"/>
      <c r="L35" s="42" t="str">
        <f aca="false">IF(J35="","",J35*IF(K35="",Assumptions!$B$6,K35))</f>
        <v/>
      </c>
      <c r="M35" s="44" t="str">
        <f aca="false">IF(J35="","",J35+L35)</f>
        <v/>
      </c>
      <c r="N35" s="52"/>
      <c r="O35" s="52"/>
      <c r="P35" s="52"/>
      <c r="Q35" s="42" t="str">
        <f aca="false">IF(AND(O35="",P35=""),"",N(O35)+N(P35))</f>
        <v/>
      </c>
      <c r="R35" s="42" t="str">
        <f aca="false">IF(OR(M35="",Q35=""),"",M35-Q35)</f>
        <v/>
      </c>
      <c r="S35" s="45" t="str">
        <f aca="false">IF(OR(R35="",N(M35)=0),"",R35/M35)</f>
        <v/>
      </c>
    </row>
    <row r="36" customFormat="false" ht="15" hidden="false" customHeight="false" outlineLevel="0" collapsed="false">
      <c r="A36" s="54"/>
      <c r="B36" s="54"/>
      <c r="C36" s="54"/>
      <c r="D36" s="54"/>
      <c r="E36" s="54"/>
      <c r="F36" s="55"/>
      <c r="G36" s="54"/>
      <c r="H36" s="56"/>
      <c r="I36" s="42" t="n">
        <f aca="false">IF(H36&lt;&gt;"",H36,IF(E36&lt;&gt;"",IFERROR(VLOOKUP(E36,Assumptions!$E$5:$F$12,2,FALSE()),0),0))</f>
        <v>0</v>
      </c>
      <c r="J36" s="42" t="str">
        <f aca="false">IF(F36="","",F36*I36)</f>
        <v/>
      </c>
      <c r="K36" s="57"/>
      <c r="L36" s="42" t="str">
        <f aca="false">IF(J36="","",J36*IF(K36="",Assumptions!$B$6,K36))</f>
        <v/>
      </c>
      <c r="M36" s="44" t="str">
        <f aca="false">IF(J36="","",J36+L36)</f>
        <v/>
      </c>
      <c r="N36" s="56"/>
      <c r="O36" s="56"/>
      <c r="P36" s="56"/>
      <c r="Q36" s="42" t="str">
        <f aca="false">IF(AND(O36="",P36=""),"",N(O36)+N(P36))</f>
        <v/>
      </c>
      <c r="R36" s="42" t="str">
        <f aca="false">IF(OR(M36="",Q36=""),"",M36-Q36)</f>
        <v/>
      </c>
      <c r="S36" s="45" t="str">
        <f aca="false">IF(OR(R36="",N(M36)=0),"",R36/M36)</f>
        <v/>
      </c>
    </row>
    <row r="37" customFormat="false" ht="15" hidden="false" customHeight="false" outlineLevel="0" collapsed="false">
      <c r="A37" s="50"/>
      <c r="B37" s="50"/>
      <c r="C37" s="50"/>
      <c r="D37" s="50"/>
      <c r="E37" s="50"/>
      <c r="F37" s="51"/>
      <c r="G37" s="50"/>
      <c r="H37" s="52"/>
      <c r="I37" s="42" t="n">
        <f aca="false">IF(H37&lt;&gt;"",H37,IF(E37&lt;&gt;"",IFERROR(VLOOKUP(E37,Assumptions!$E$5:$F$12,2,FALSE()),0),0))</f>
        <v>0</v>
      </c>
      <c r="J37" s="42" t="str">
        <f aca="false">IF(F37="","",F37*I37)</f>
        <v/>
      </c>
      <c r="K37" s="53"/>
      <c r="L37" s="42" t="str">
        <f aca="false">IF(J37="","",J37*IF(K37="",Assumptions!$B$6,K37))</f>
        <v/>
      </c>
      <c r="M37" s="44" t="str">
        <f aca="false">IF(J37="","",J37+L37)</f>
        <v/>
      </c>
      <c r="N37" s="52"/>
      <c r="O37" s="52"/>
      <c r="P37" s="52"/>
      <c r="Q37" s="42" t="str">
        <f aca="false">IF(AND(O37="",P37=""),"",N(O37)+N(P37))</f>
        <v/>
      </c>
      <c r="R37" s="42" t="str">
        <f aca="false">IF(OR(M37="",Q37=""),"",M37-Q37)</f>
        <v/>
      </c>
      <c r="S37" s="45" t="str">
        <f aca="false">IF(OR(R37="",N(M37)=0),"",R37/M37)</f>
        <v/>
      </c>
    </row>
    <row r="38" customFormat="false" ht="15" hidden="false" customHeight="false" outlineLevel="0" collapsed="false">
      <c r="A38" s="54"/>
      <c r="B38" s="54"/>
      <c r="C38" s="54"/>
      <c r="D38" s="54"/>
      <c r="E38" s="54"/>
      <c r="F38" s="55"/>
      <c r="G38" s="54"/>
      <c r="H38" s="56"/>
      <c r="I38" s="42" t="n">
        <f aca="false">IF(H38&lt;&gt;"",H38,IF(E38&lt;&gt;"",IFERROR(VLOOKUP(E38,Assumptions!$E$5:$F$12,2,FALSE()),0),0))</f>
        <v>0</v>
      </c>
      <c r="J38" s="42" t="str">
        <f aca="false">IF(F38="","",F38*I38)</f>
        <v/>
      </c>
      <c r="K38" s="57"/>
      <c r="L38" s="42" t="str">
        <f aca="false">IF(J38="","",J38*IF(K38="",Assumptions!$B$6,K38))</f>
        <v/>
      </c>
      <c r="M38" s="44" t="str">
        <f aca="false">IF(J38="","",J38+L38)</f>
        <v/>
      </c>
      <c r="N38" s="56"/>
      <c r="O38" s="56"/>
      <c r="P38" s="56"/>
      <c r="Q38" s="42" t="str">
        <f aca="false">IF(AND(O38="",P38=""),"",N(O38)+N(P38))</f>
        <v/>
      </c>
      <c r="R38" s="42" t="str">
        <f aca="false">IF(OR(M38="",Q38=""),"",M38-Q38)</f>
        <v/>
      </c>
      <c r="S38" s="45" t="str">
        <f aca="false">IF(OR(R38="",N(M38)=0),"",R38/M38)</f>
        <v/>
      </c>
    </row>
    <row r="39" customFormat="false" ht="15" hidden="false" customHeight="false" outlineLevel="0" collapsed="false">
      <c r="A39" s="50"/>
      <c r="B39" s="50"/>
      <c r="C39" s="50"/>
      <c r="D39" s="50"/>
      <c r="E39" s="50"/>
      <c r="F39" s="51"/>
      <c r="G39" s="50"/>
      <c r="H39" s="52"/>
      <c r="I39" s="42" t="n">
        <f aca="false">IF(H39&lt;&gt;"",H39,IF(E39&lt;&gt;"",IFERROR(VLOOKUP(E39,Assumptions!$E$5:$F$12,2,FALSE()),0),0))</f>
        <v>0</v>
      </c>
      <c r="J39" s="42" t="str">
        <f aca="false">IF(F39="","",F39*I39)</f>
        <v/>
      </c>
      <c r="K39" s="53"/>
      <c r="L39" s="42" t="str">
        <f aca="false">IF(J39="","",J39*IF(K39="",Assumptions!$B$6,K39))</f>
        <v/>
      </c>
      <c r="M39" s="44" t="str">
        <f aca="false">IF(J39="","",J39+L39)</f>
        <v/>
      </c>
      <c r="N39" s="52"/>
      <c r="O39" s="52"/>
      <c r="P39" s="52"/>
      <c r="Q39" s="42" t="str">
        <f aca="false">IF(AND(O39="",P39=""),"",N(O39)+N(P39))</f>
        <v/>
      </c>
      <c r="R39" s="42" t="str">
        <f aca="false">IF(OR(M39="",Q39=""),"",M39-Q39)</f>
        <v/>
      </c>
      <c r="S39" s="45" t="str">
        <f aca="false">IF(OR(R39="",N(M39)=0),"",R39/M39)</f>
        <v/>
      </c>
    </row>
    <row r="40" customFormat="false" ht="15" hidden="false" customHeight="false" outlineLevel="0" collapsed="false">
      <c r="A40" s="54"/>
      <c r="B40" s="54"/>
      <c r="C40" s="54"/>
      <c r="D40" s="54"/>
      <c r="E40" s="54"/>
      <c r="F40" s="55"/>
      <c r="G40" s="54"/>
      <c r="H40" s="56"/>
      <c r="I40" s="42" t="n">
        <f aca="false">IF(H40&lt;&gt;"",H40,IF(E40&lt;&gt;"",IFERROR(VLOOKUP(E40,Assumptions!$E$5:$F$12,2,FALSE()),0),0))</f>
        <v>0</v>
      </c>
      <c r="J40" s="42" t="str">
        <f aca="false">IF(F40="","",F40*I40)</f>
        <v/>
      </c>
      <c r="K40" s="57"/>
      <c r="L40" s="42" t="str">
        <f aca="false">IF(J40="","",J40*IF(K40="",Assumptions!$B$6,K40))</f>
        <v/>
      </c>
      <c r="M40" s="44" t="str">
        <f aca="false">IF(J40="","",J40+L40)</f>
        <v/>
      </c>
      <c r="N40" s="56"/>
      <c r="O40" s="56"/>
      <c r="P40" s="56"/>
      <c r="Q40" s="42" t="str">
        <f aca="false">IF(AND(O40="",P40=""),"",N(O40)+N(P40))</f>
        <v/>
      </c>
      <c r="R40" s="42" t="str">
        <f aca="false">IF(OR(M40="",Q40=""),"",M40-Q40)</f>
        <v/>
      </c>
      <c r="S40" s="45" t="str">
        <f aca="false">IF(OR(R40="",N(M40)=0),"",R40/M40)</f>
        <v/>
      </c>
    </row>
    <row r="41" customFormat="false" ht="15" hidden="false" customHeight="false" outlineLevel="0" collapsed="false">
      <c r="A41" s="50"/>
      <c r="B41" s="50"/>
      <c r="C41" s="50"/>
      <c r="D41" s="50"/>
      <c r="E41" s="50"/>
      <c r="F41" s="51"/>
      <c r="G41" s="50"/>
      <c r="H41" s="52"/>
      <c r="I41" s="42" t="n">
        <f aca="false">IF(H41&lt;&gt;"",H41,IF(E41&lt;&gt;"",IFERROR(VLOOKUP(E41,Assumptions!$E$5:$F$12,2,FALSE()),0),0))</f>
        <v>0</v>
      </c>
      <c r="J41" s="42" t="str">
        <f aca="false">IF(F41="","",F41*I41)</f>
        <v/>
      </c>
      <c r="K41" s="53"/>
      <c r="L41" s="42" t="str">
        <f aca="false">IF(J41="","",J41*IF(K41="",Assumptions!$B$6,K41))</f>
        <v/>
      </c>
      <c r="M41" s="44" t="str">
        <f aca="false">IF(J41="","",J41+L41)</f>
        <v/>
      </c>
      <c r="N41" s="52"/>
      <c r="O41" s="52"/>
      <c r="P41" s="52"/>
      <c r="Q41" s="42" t="str">
        <f aca="false">IF(AND(O41="",P41=""),"",N(O41)+N(P41))</f>
        <v/>
      </c>
      <c r="R41" s="42" t="str">
        <f aca="false">IF(OR(M41="",Q41=""),"",M41-Q41)</f>
        <v/>
      </c>
      <c r="S41" s="45" t="str">
        <f aca="false">IF(OR(R41="",N(M41)=0),"",R41/M41)</f>
        <v/>
      </c>
    </row>
    <row r="42" customFormat="false" ht="15" hidden="false" customHeight="false" outlineLevel="0" collapsed="false">
      <c r="A42" s="54"/>
      <c r="B42" s="54"/>
      <c r="C42" s="54"/>
      <c r="D42" s="54"/>
      <c r="E42" s="54"/>
      <c r="F42" s="55"/>
      <c r="G42" s="54"/>
      <c r="H42" s="56"/>
      <c r="I42" s="42" t="n">
        <f aca="false">IF(H42&lt;&gt;"",H42,IF(E42&lt;&gt;"",IFERROR(VLOOKUP(E42,Assumptions!$E$5:$F$12,2,FALSE()),0),0))</f>
        <v>0</v>
      </c>
      <c r="J42" s="42" t="str">
        <f aca="false">IF(F42="","",F42*I42)</f>
        <v/>
      </c>
      <c r="K42" s="57"/>
      <c r="L42" s="42" t="str">
        <f aca="false">IF(J42="","",J42*IF(K42="",Assumptions!$B$6,K42))</f>
        <v/>
      </c>
      <c r="M42" s="44" t="str">
        <f aca="false">IF(J42="","",J42+L42)</f>
        <v/>
      </c>
      <c r="N42" s="56"/>
      <c r="O42" s="56"/>
      <c r="P42" s="56"/>
      <c r="Q42" s="42" t="str">
        <f aca="false">IF(AND(O42="",P42=""),"",N(O42)+N(P42))</f>
        <v/>
      </c>
      <c r="R42" s="42" t="str">
        <f aca="false">IF(OR(M42="",Q42=""),"",M42-Q42)</f>
        <v/>
      </c>
      <c r="S42" s="45" t="str">
        <f aca="false">IF(OR(R42="",N(M42)=0),"",R42/M42)</f>
        <v/>
      </c>
    </row>
    <row r="43" customFormat="false" ht="15" hidden="false" customHeight="false" outlineLevel="0" collapsed="false">
      <c r="A43" s="50"/>
      <c r="B43" s="50"/>
      <c r="C43" s="50"/>
      <c r="D43" s="50"/>
      <c r="E43" s="50"/>
      <c r="F43" s="51"/>
      <c r="G43" s="50"/>
      <c r="H43" s="52"/>
      <c r="I43" s="42" t="n">
        <f aca="false">IF(H43&lt;&gt;"",H43,IF(E43&lt;&gt;"",IFERROR(VLOOKUP(E43,Assumptions!$E$5:$F$12,2,FALSE()),0),0))</f>
        <v>0</v>
      </c>
      <c r="J43" s="42" t="str">
        <f aca="false">IF(F43="","",F43*I43)</f>
        <v/>
      </c>
      <c r="K43" s="53"/>
      <c r="L43" s="42" t="str">
        <f aca="false">IF(J43="","",J43*IF(K43="",Assumptions!$B$6,K43))</f>
        <v/>
      </c>
      <c r="M43" s="44" t="str">
        <f aca="false">IF(J43="","",J43+L43)</f>
        <v/>
      </c>
      <c r="N43" s="52"/>
      <c r="O43" s="52"/>
      <c r="P43" s="52"/>
      <c r="Q43" s="42" t="str">
        <f aca="false">IF(AND(O43="",P43=""),"",N(O43)+N(P43))</f>
        <v/>
      </c>
      <c r="R43" s="42" t="str">
        <f aca="false">IF(OR(M43="",Q43=""),"",M43-Q43)</f>
        <v/>
      </c>
      <c r="S43" s="45" t="str">
        <f aca="false">IF(OR(R43="",N(M43)=0),"",R43/M43)</f>
        <v/>
      </c>
    </row>
    <row r="44" customFormat="false" ht="15" hidden="false" customHeight="false" outlineLevel="0" collapsed="false">
      <c r="A44" s="54"/>
      <c r="B44" s="54"/>
      <c r="C44" s="54"/>
      <c r="D44" s="54"/>
      <c r="E44" s="54"/>
      <c r="F44" s="55"/>
      <c r="G44" s="54"/>
      <c r="H44" s="56"/>
      <c r="I44" s="42" t="n">
        <f aca="false">IF(H44&lt;&gt;"",H44,IF(E44&lt;&gt;"",IFERROR(VLOOKUP(E44,Assumptions!$E$5:$F$12,2,FALSE()),0),0))</f>
        <v>0</v>
      </c>
      <c r="J44" s="42" t="str">
        <f aca="false">IF(F44="","",F44*I44)</f>
        <v/>
      </c>
      <c r="K44" s="57"/>
      <c r="L44" s="42" t="str">
        <f aca="false">IF(J44="","",J44*IF(K44="",Assumptions!$B$6,K44))</f>
        <v/>
      </c>
      <c r="M44" s="44" t="str">
        <f aca="false">IF(J44="","",J44+L44)</f>
        <v/>
      </c>
      <c r="N44" s="56"/>
      <c r="O44" s="56"/>
      <c r="P44" s="56"/>
      <c r="Q44" s="42" t="str">
        <f aca="false">IF(AND(O44="",P44=""),"",N(O44)+N(P44))</f>
        <v/>
      </c>
      <c r="R44" s="42" t="str">
        <f aca="false">IF(OR(M44="",Q44=""),"",M44-Q44)</f>
        <v/>
      </c>
      <c r="S44" s="45" t="str">
        <f aca="false">IF(OR(R44="",N(M44)=0),"",R44/M44)</f>
        <v/>
      </c>
    </row>
    <row r="45" customFormat="false" ht="15" hidden="false" customHeight="false" outlineLevel="0" collapsed="false">
      <c r="A45" s="50"/>
      <c r="B45" s="50"/>
      <c r="C45" s="50"/>
      <c r="D45" s="50"/>
      <c r="E45" s="50"/>
      <c r="F45" s="51"/>
      <c r="G45" s="50"/>
      <c r="H45" s="52"/>
      <c r="I45" s="42" t="n">
        <f aca="false">IF(H45&lt;&gt;"",H45,IF(E45&lt;&gt;"",IFERROR(VLOOKUP(E45,Assumptions!$E$5:$F$12,2,FALSE()),0),0))</f>
        <v>0</v>
      </c>
      <c r="J45" s="42" t="str">
        <f aca="false">IF(F45="","",F45*I45)</f>
        <v/>
      </c>
      <c r="K45" s="53"/>
      <c r="L45" s="42" t="str">
        <f aca="false">IF(J45="","",J45*IF(K45="",Assumptions!$B$6,K45))</f>
        <v/>
      </c>
      <c r="M45" s="44" t="str">
        <f aca="false">IF(J45="","",J45+L45)</f>
        <v/>
      </c>
      <c r="N45" s="52"/>
      <c r="O45" s="52"/>
      <c r="P45" s="52"/>
      <c r="Q45" s="42" t="str">
        <f aca="false">IF(AND(O45="",P45=""),"",N(O45)+N(P45))</f>
        <v/>
      </c>
      <c r="R45" s="42" t="str">
        <f aca="false">IF(OR(M45="",Q45=""),"",M45-Q45)</f>
        <v/>
      </c>
      <c r="S45" s="45" t="str">
        <f aca="false">IF(OR(R45="",N(M45)=0),"",R45/M45)</f>
        <v/>
      </c>
    </row>
    <row r="46" customFormat="false" ht="15" hidden="false" customHeight="false" outlineLevel="0" collapsed="false">
      <c r="A46" s="54"/>
      <c r="B46" s="54"/>
      <c r="C46" s="54"/>
      <c r="D46" s="54"/>
      <c r="E46" s="54"/>
      <c r="F46" s="55"/>
      <c r="G46" s="54"/>
      <c r="H46" s="56"/>
      <c r="I46" s="42" t="n">
        <f aca="false">IF(H46&lt;&gt;"",H46,IF(E46&lt;&gt;"",IFERROR(VLOOKUP(E46,Assumptions!$E$5:$F$12,2,FALSE()),0),0))</f>
        <v>0</v>
      </c>
      <c r="J46" s="42" t="str">
        <f aca="false">IF(F46="","",F46*I46)</f>
        <v/>
      </c>
      <c r="K46" s="57"/>
      <c r="L46" s="42" t="str">
        <f aca="false">IF(J46="","",J46*IF(K46="",Assumptions!$B$6,K46))</f>
        <v/>
      </c>
      <c r="M46" s="44" t="str">
        <f aca="false">IF(J46="","",J46+L46)</f>
        <v/>
      </c>
      <c r="N46" s="56"/>
      <c r="O46" s="56"/>
      <c r="P46" s="56"/>
      <c r="Q46" s="42" t="str">
        <f aca="false">IF(AND(O46="",P46=""),"",N(O46)+N(P46))</f>
        <v/>
      </c>
      <c r="R46" s="42" t="str">
        <f aca="false">IF(OR(M46="",Q46=""),"",M46-Q46)</f>
        <v/>
      </c>
      <c r="S46" s="45" t="str">
        <f aca="false">IF(OR(R46="",N(M46)=0),"",R46/M46)</f>
        <v/>
      </c>
    </row>
    <row r="47" customFormat="false" ht="15" hidden="false" customHeight="false" outlineLevel="0" collapsed="false">
      <c r="A47" s="50"/>
      <c r="B47" s="50"/>
      <c r="C47" s="50"/>
      <c r="D47" s="50"/>
      <c r="E47" s="50"/>
      <c r="F47" s="51"/>
      <c r="G47" s="50"/>
      <c r="H47" s="52"/>
      <c r="I47" s="42" t="n">
        <f aca="false">IF(H47&lt;&gt;"",H47,IF(E47&lt;&gt;"",IFERROR(VLOOKUP(E47,Assumptions!$E$5:$F$12,2,FALSE()),0),0))</f>
        <v>0</v>
      </c>
      <c r="J47" s="42" t="str">
        <f aca="false">IF(F47="","",F47*I47)</f>
        <v/>
      </c>
      <c r="K47" s="53"/>
      <c r="L47" s="42" t="str">
        <f aca="false">IF(J47="","",J47*IF(K47="",Assumptions!$B$6,K47))</f>
        <v/>
      </c>
      <c r="M47" s="44" t="str">
        <f aca="false">IF(J47="","",J47+L47)</f>
        <v/>
      </c>
      <c r="N47" s="52"/>
      <c r="O47" s="52"/>
      <c r="P47" s="52"/>
      <c r="Q47" s="42" t="str">
        <f aca="false">IF(AND(O47="",P47=""),"",N(O47)+N(P47))</f>
        <v/>
      </c>
      <c r="R47" s="42" t="str">
        <f aca="false">IF(OR(M47="",Q47=""),"",M47-Q47)</f>
        <v/>
      </c>
      <c r="S47" s="45" t="str">
        <f aca="false">IF(OR(R47="",N(M47)=0),"",R47/M47)</f>
        <v/>
      </c>
    </row>
    <row r="48" customFormat="false" ht="15" hidden="false" customHeight="false" outlineLevel="0" collapsed="false">
      <c r="A48" s="54"/>
      <c r="B48" s="54"/>
      <c r="C48" s="54"/>
      <c r="D48" s="54"/>
      <c r="E48" s="54"/>
      <c r="F48" s="55"/>
      <c r="G48" s="54"/>
      <c r="H48" s="56"/>
      <c r="I48" s="42" t="n">
        <f aca="false">IF(H48&lt;&gt;"",H48,IF(E48&lt;&gt;"",IFERROR(VLOOKUP(E48,Assumptions!$E$5:$F$12,2,FALSE()),0),0))</f>
        <v>0</v>
      </c>
      <c r="J48" s="42" t="str">
        <f aca="false">IF(F48="","",F48*I48)</f>
        <v/>
      </c>
      <c r="K48" s="57"/>
      <c r="L48" s="42" t="str">
        <f aca="false">IF(J48="","",J48*IF(K48="",Assumptions!$B$6,K48))</f>
        <v/>
      </c>
      <c r="M48" s="44" t="str">
        <f aca="false">IF(J48="","",J48+L48)</f>
        <v/>
      </c>
      <c r="N48" s="56"/>
      <c r="O48" s="56"/>
      <c r="P48" s="56"/>
      <c r="Q48" s="42" t="str">
        <f aca="false">IF(AND(O48="",P48=""),"",N(O48)+N(P48))</f>
        <v/>
      </c>
      <c r="R48" s="42" t="str">
        <f aca="false">IF(OR(M48="",Q48=""),"",M48-Q48)</f>
        <v/>
      </c>
      <c r="S48" s="45" t="str">
        <f aca="false">IF(OR(R48="",N(M48)=0),"",R48/M48)</f>
        <v/>
      </c>
    </row>
    <row r="49" customFormat="false" ht="15" hidden="false" customHeight="false" outlineLevel="0" collapsed="false">
      <c r="A49" s="50"/>
      <c r="B49" s="50"/>
      <c r="C49" s="50"/>
      <c r="D49" s="50"/>
      <c r="E49" s="50"/>
      <c r="F49" s="51"/>
      <c r="G49" s="50"/>
      <c r="H49" s="52"/>
      <c r="I49" s="42" t="n">
        <f aca="false">IF(H49&lt;&gt;"",H49,IF(E49&lt;&gt;"",IFERROR(VLOOKUP(E49,Assumptions!$E$5:$F$12,2,FALSE()),0),0))</f>
        <v>0</v>
      </c>
      <c r="J49" s="42" t="str">
        <f aca="false">IF(F49="","",F49*I49)</f>
        <v/>
      </c>
      <c r="K49" s="53"/>
      <c r="L49" s="42" t="str">
        <f aca="false">IF(J49="","",J49*IF(K49="",Assumptions!$B$6,K49))</f>
        <v/>
      </c>
      <c r="M49" s="44" t="str">
        <f aca="false">IF(J49="","",J49+L49)</f>
        <v/>
      </c>
      <c r="N49" s="52"/>
      <c r="O49" s="52"/>
      <c r="P49" s="52"/>
      <c r="Q49" s="42" t="str">
        <f aca="false">IF(AND(O49="",P49=""),"",N(O49)+N(P49))</f>
        <v/>
      </c>
      <c r="R49" s="42" t="str">
        <f aca="false">IF(OR(M49="",Q49=""),"",M49-Q49)</f>
        <v/>
      </c>
      <c r="S49" s="45" t="str">
        <f aca="false">IF(OR(R49="",N(M49)=0),"",R49/M49)</f>
        <v/>
      </c>
    </row>
    <row r="50" customFormat="false" ht="15" hidden="false" customHeight="false" outlineLevel="0" collapsed="false">
      <c r="A50" s="54"/>
      <c r="B50" s="54"/>
      <c r="C50" s="54"/>
      <c r="D50" s="54"/>
      <c r="E50" s="54"/>
      <c r="F50" s="55"/>
      <c r="G50" s="54"/>
      <c r="H50" s="56"/>
      <c r="I50" s="42" t="n">
        <f aca="false">IF(H50&lt;&gt;"",H50,IF(E50&lt;&gt;"",IFERROR(VLOOKUP(E50,Assumptions!$E$5:$F$12,2,FALSE()),0),0))</f>
        <v>0</v>
      </c>
      <c r="J50" s="42" t="str">
        <f aca="false">IF(F50="","",F50*I50)</f>
        <v/>
      </c>
      <c r="K50" s="57"/>
      <c r="L50" s="42" t="str">
        <f aca="false">IF(J50="","",J50*IF(K50="",Assumptions!$B$6,K50))</f>
        <v/>
      </c>
      <c r="M50" s="44" t="str">
        <f aca="false">IF(J50="","",J50+L50)</f>
        <v/>
      </c>
      <c r="N50" s="56"/>
      <c r="O50" s="56"/>
      <c r="P50" s="56"/>
      <c r="Q50" s="42" t="str">
        <f aca="false">IF(AND(O50="",P50=""),"",N(O50)+N(P50))</f>
        <v/>
      </c>
      <c r="R50" s="42" t="str">
        <f aca="false">IF(OR(M50="",Q50=""),"",M50-Q50)</f>
        <v/>
      </c>
      <c r="S50" s="45" t="str">
        <f aca="false">IF(OR(R50="",N(M50)=0),"",R50/M50)</f>
        <v/>
      </c>
    </row>
    <row r="51" customFormat="false" ht="15" hidden="false" customHeight="false" outlineLevel="0" collapsed="false">
      <c r="A51" s="50"/>
      <c r="B51" s="50"/>
      <c r="C51" s="50"/>
      <c r="D51" s="50"/>
      <c r="E51" s="50"/>
      <c r="F51" s="51"/>
      <c r="G51" s="50"/>
      <c r="H51" s="52"/>
      <c r="I51" s="42" t="n">
        <f aca="false">IF(H51&lt;&gt;"",H51,IF(E51&lt;&gt;"",IFERROR(VLOOKUP(E51,Assumptions!$E$5:$F$12,2,FALSE()),0),0))</f>
        <v>0</v>
      </c>
      <c r="J51" s="42" t="str">
        <f aca="false">IF(F51="","",F51*I51)</f>
        <v/>
      </c>
      <c r="K51" s="53"/>
      <c r="L51" s="42" t="str">
        <f aca="false">IF(J51="","",J51*IF(K51="",Assumptions!$B$6,K51))</f>
        <v/>
      </c>
      <c r="M51" s="44" t="str">
        <f aca="false">IF(J51="","",J51+L51)</f>
        <v/>
      </c>
      <c r="N51" s="52"/>
      <c r="O51" s="52"/>
      <c r="P51" s="52"/>
      <c r="Q51" s="42" t="str">
        <f aca="false">IF(AND(O51="",P51=""),"",N(O51)+N(P51))</f>
        <v/>
      </c>
      <c r="R51" s="42" t="str">
        <f aca="false">IF(OR(M51="",Q51=""),"",M51-Q51)</f>
        <v/>
      </c>
      <c r="S51" s="45" t="str">
        <f aca="false">IF(OR(R51="",N(M51)=0),"",R51/M51)</f>
        <v/>
      </c>
    </row>
    <row r="52" customFormat="false" ht="15" hidden="false" customHeight="false" outlineLevel="0" collapsed="false">
      <c r="A52" s="54"/>
      <c r="B52" s="54"/>
      <c r="C52" s="54"/>
      <c r="D52" s="54"/>
      <c r="E52" s="54"/>
      <c r="F52" s="55"/>
      <c r="G52" s="54"/>
      <c r="H52" s="56"/>
      <c r="I52" s="42" t="n">
        <f aca="false">IF(H52&lt;&gt;"",H52,IF(E52&lt;&gt;"",IFERROR(VLOOKUP(E52,Assumptions!$E$5:$F$12,2,FALSE()),0),0))</f>
        <v>0</v>
      </c>
      <c r="J52" s="42" t="str">
        <f aca="false">IF(F52="","",F52*I52)</f>
        <v/>
      </c>
      <c r="K52" s="57"/>
      <c r="L52" s="42" t="str">
        <f aca="false">IF(J52="","",J52*IF(K52="",Assumptions!$B$6,K52))</f>
        <v/>
      </c>
      <c r="M52" s="44" t="str">
        <f aca="false">IF(J52="","",J52+L52)</f>
        <v/>
      </c>
      <c r="N52" s="56"/>
      <c r="O52" s="56"/>
      <c r="P52" s="56"/>
      <c r="Q52" s="42" t="str">
        <f aca="false">IF(AND(O52="",P52=""),"",N(O52)+N(P52))</f>
        <v/>
      </c>
      <c r="R52" s="42" t="str">
        <f aca="false">IF(OR(M52="",Q52=""),"",M52-Q52)</f>
        <v/>
      </c>
      <c r="S52" s="45" t="str">
        <f aca="false">IF(OR(R52="",N(M52)=0),"",R52/M52)</f>
        <v/>
      </c>
    </row>
    <row r="53" customFormat="false" ht="15" hidden="false" customHeight="false" outlineLevel="0" collapsed="false">
      <c r="A53" s="50"/>
      <c r="B53" s="50"/>
      <c r="C53" s="50"/>
      <c r="D53" s="50"/>
      <c r="E53" s="50"/>
      <c r="F53" s="51"/>
      <c r="G53" s="50"/>
      <c r="H53" s="52"/>
      <c r="I53" s="42" t="n">
        <f aca="false">IF(H53&lt;&gt;"",H53,IF(E53&lt;&gt;"",IFERROR(VLOOKUP(E53,Assumptions!$E$5:$F$12,2,FALSE()),0),0))</f>
        <v>0</v>
      </c>
      <c r="J53" s="42" t="str">
        <f aca="false">IF(F53="","",F53*I53)</f>
        <v/>
      </c>
      <c r="K53" s="53"/>
      <c r="L53" s="42" t="str">
        <f aca="false">IF(J53="","",J53*IF(K53="",Assumptions!$B$6,K53))</f>
        <v/>
      </c>
      <c r="M53" s="44" t="str">
        <f aca="false">IF(J53="","",J53+L53)</f>
        <v/>
      </c>
      <c r="N53" s="52"/>
      <c r="O53" s="52"/>
      <c r="P53" s="52"/>
      <c r="Q53" s="42" t="str">
        <f aca="false">IF(AND(O53="",P53=""),"",N(O53)+N(P53))</f>
        <v/>
      </c>
      <c r="R53" s="42" t="str">
        <f aca="false">IF(OR(M53="",Q53=""),"",M53-Q53)</f>
        <v/>
      </c>
      <c r="S53" s="45" t="str">
        <f aca="false">IF(OR(R53="",N(M53)=0),"",R53/M53)</f>
        <v/>
      </c>
    </row>
    <row r="54" customFormat="false" ht="15" hidden="false" customHeight="false" outlineLevel="0" collapsed="false">
      <c r="A54" s="54"/>
      <c r="B54" s="54"/>
      <c r="C54" s="54"/>
      <c r="D54" s="54"/>
      <c r="E54" s="54"/>
      <c r="F54" s="55"/>
      <c r="G54" s="54"/>
      <c r="H54" s="56"/>
      <c r="I54" s="42" t="n">
        <f aca="false">IF(H54&lt;&gt;"",H54,IF(E54&lt;&gt;"",IFERROR(VLOOKUP(E54,Assumptions!$E$5:$F$12,2,FALSE()),0),0))</f>
        <v>0</v>
      </c>
      <c r="J54" s="42" t="str">
        <f aca="false">IF(F54="","",F54*I54)</f>
        <v/>
      </c>
      <c r="K54" s="57"/>
      <c r="L54" s="42" t="str">
        <f aca="false">IF(J54="","",J54*IF(K54="",Assumptions!$B$6,K54))</f>
        <v/>
      </c>
      <c r="M54" s="44" t="str">
        <f aca="false">IF(J54="","",J54+L54)</f>
        <v/>
      </c>
      <c r="N54" s="56"/>
      <c r="O54" s="56"/>
      <c r="P54" s="56"/>
      <c r="Q54" s="42" t="str">
        <f aca="false">IF(AND(O54="",P54=""),"",N(O54)+N(P54))</f>
        <v/>
      </c>
      <c r="R54" s="42" t="str">
        <f aca="false">IF(OR(M54="",Q54=""),"",M54-Q54)</f>
        <v/>
      </c>
      <c r="S54" s="45" t="str">
        <f aca="false">IF(OR(R54="",N(M54)=0),"",R54/M54)</f>
        <v/>
      </c>
    </row>
    <row r="55" customFormat="false" ht="15" hidden="false" customHeight="false" outlineLevel="0" collapsed="false">
      <c r="A55" s="50"/>
      <c r="B55" s="50"/>
      <c r="C55" s="50"/>
      <c r="D55" s="50"/>
      <c r="E55" s="50"/>
      <c r="F55" s="51"/>
      <c r="G55" s="50"/>
      <c r="H55" s="52"/>
      <c r="I55" s="42" t="n">
        <f aca="false">IF(H55&lt;&gt;"",H55,IF(E55&lt;&gt;"",IFERROR(VLOOKUP(E55,Assumptions!$E$5:$F$12,2,FALSE()),0),0))</f>
        <v>0</v>
      </c>
      <c r="J55" s="42" t="str">
        <f aca="false">IF(F55="","",F55*I55)</f>
        <v/>
      </c>
      <c r="K55" s="53"/>
      <c r="L55" s="42" t="str">
        <f aca="false">IF(J55="","",J55*IF(K55="",Assumptions!$B$6,K55))</f>
        <v/>
      </c>
      <c r="M55" s="44" t="str">
        <f aca="false">IF(J55="","",J55+L55)</f>
        <v/>
      </c>
      <c r="N55" s="52"/>
      <c r="O55" s="52"/>
      <c r="P55" s="52"/>
      <c r="Q55" s="42" t="str">
        <f aca="false">IF(AND(O55="",P55=""),"",N(O55)+N(P55))</f>
        <v/>
      </c>
      <c r="R55" s="42" t="str">
        <f aca="false">IF(OR(M55="",Q55=""),"",M55-Q55)</f>
        <v/>
      </c>
      <c r="S55" s="45" t="str">
        <f aca="false">IF(OR(R55="",N(M55)=0),"",R55/M55)</f>
        <v/>
      </c>
    </row>
    <row r="56" customFormat="false" ht="15" hidden="false" customHeight="false" outlineLevel="0" collapsed="false">
      <c r="A56" s="54"/>
      <c r="B56" s="54"/>
      <c r="C56" s="54"/>
      <c r="D56" s="54"/>
      <c r="E56" s="54"/>
      <c r="F56" s="55"/>
      <c r="G56" s="54"/>
      <c r="H56" s="56"/>
      <c r="I56" s="42" t="n">
        <f aca="false">IF(H56&lt;&gt;"",H56,IF(E56&lt;&gt;"",IFERROR(VLOOKUP(E56,Assumptions!$E$5:$F$12,2,FALSE()),0),0))</f>
        <v>0</v>
      </c>
      <c r="J56" s="42" t="str">
        <f aca="false">IF(F56="","",F56*I56)</f>
        <v/>
      </c>
      <c r="K56" s="57"/>
      <c r="L56" s="42" t="str">
        <f aca="false">IF(J56="","",J56*IF(K56="",Assumptions!$B$6,K56))</f>
        <v/>
      </c>
      <c r="M56" s="44" t="str">
        <f aca="false">IF(J56="","",J56+L56)</f>
        <v/>
      </c>
      <c r="N56" s="56"/>
      <c r="O56" s="56"/>
      <c r="P56" s="56"/>
      <c r="Q56" s="42" t="str">
        <f aca="false">IF(AND(O56="",P56=""),"",N(O56)+N(P56))</f>
        <v/>
      </c>
      <c r="R56" s="42" t="str">
        <f aca="false">IF(OR(M56="",Q56=""),"",M56-Q56)</f>
        <v/>
      </c>
      <c r="S56" s="45" t="str">
        <f aca="false">IF(OR(R56="",N(M56)=0),"",R56/M56)</f>
        <v/>
      </c>
    </row>
    <row r="57" customFormat="false" ht="15" hidden="false" customHeight="false" outlineLevel="0" collapsed="false">
      <c r="A57" s="50"/>
      <c r="B57" s="50"/>
      <c r="C57" s="50"/>
      <c r="D57" s="50"/>
      <c r="E57" s="50"/>
      <c r="F57" s="51"/>
      <c r="G57" s="50"/>
      <c r="H57" s="52"/>
      <c r="I57" s="42" t="n">
        <f aca="false">IF(H57&lt;&gt;"",H57,IF(E57&lt;&gt;"",IFERROR(VLOOKUP(E57,Assumptions!$E$5:$F$12,2,FALSE()),0),0))</f>
        <v>0</v>
      </c>
      <c r="J57" s="42" t="str">
        <f aca="false">IF(F57="","",F57*I57)</f>
        <v/>
      </c>
      <c r="K57" s="53"/>
      <c r="L57" s="42" t="str">
        <f aca="false">IF(J57="","",J57*IF(K57="",Assumptions!$B$6,K57))</f>
        <v/>
      </c>
      <c r="M57" s="44" t="str">
        <f aca="false">IF(J57="","",J57+L57)</f>
        <v/>
      </c>
      <c r="N57" s="52"/>
      <c r="O57" s="52"/>
      <c r="P57" s="52"/>
      <c r="Q57" s="42" t="str">
        <f aca="false">IF(AND(O57="",P57=""),"",N(O57)+N(P57))</f>
        <v/>
      </c>
      <c r="R57" s="42" t="str">
        <f aca="false">IF(OR(M57="",Q57=""),"",M57-Q57)</f>
        <v/>
      </c>
      <c r="S57" s="45" t="str">
        <f aca="false">IF(OR(R57="",N(M57)=0),"",R57/M57)</f>
        <v/>
      </c>
    </row>
    <row r="58" customFormat="false" ht="15" hidden="false" customHeight="false" outlineLevel="0" collapsed="false">
      <c r="A58" s="54"/>
      <c r="B58" s="54"/>
      <c r="C58" s="54"/>
      <c r="D58" s="54"/>
      <c r="E58" s="54"/>
      <c r="F58" s="55"/>
      <c r="G58" s="54"/>
      <c r="H58" s="56"/>
      <c r="I58" s="42" t="n">
        <f aca="false">IF(H58&lt;&gt;"",H58,IF(E58&lt;&gt;"",IFERROR(VLOOKUP(E58,Assumptions!$E$5:$F$12,2,FALSE()),0),0))</f>
        <v>0</v>
      </c>
      <c r="J58" s="42" t="str">
        <f aca="false">IF(F58="","",F58*I58)</f>
        <v/>
      </c>
      <c r="K58" s="57"/>
      <c r="L58" s="42" t="str">
        <f aca="false">IF(J58="","",J58*IF(K58="",Assumptions!$B$6,K58))</f>
        <v/>
      </c>
      <c r="M58" s="44" t="str">
        <f aca="false">IF(J58="","",J58+L58)</f>
        <v/>
      </c>
      <c r="N58" s="56"/>
      <c r="O58" s="56"/>
      <c r="P58" s="56"/>
      <c r="Q58" s="42" t="str">
        <f aca="false">IF(AND(O58="",P58=""),"",N(O58)+N(P58))</f>
        <v/>
      </c>
      <c r="R58" s="42" t="str">
        <f aca="false">IF(OR(M58="",Q58=""),"",M58-Q58)</f>
        <v/>
      </c>
      <c r="S58" s="45" t="str">
        <f aca="false">IF(OR(R58="",N(M58)=0),"",R58/M58)</f>
        <v/>
      </c>
    </row>
    <row r="59" customFormat="false" ht="15" hidden="false" customHeight="false" outlineLevel="0" collapsed="false">
      <c r="A59" s="50"/>
      <c r="B59" s="50"/>
      <c r="C59" s="50"/>
      <c r="D59" s="50"/>
      <c r="E59" s="50"/>
      <c r="F59" s="51"/>
      <c r="G59" s="50"/>
      <c r="H59" s="52"/>
      <c r="I59" s="42" t="n">
        <f aca="false">IF(H59&lt;&gt;"",H59,IF(E59&lt;&gt;"",IFERROR(VLOOKUP(E59,Assumptions!$E$5:$F$12,2,FALSE()),0),0))</f>
        <v>0</v>
      </c>
      <c r="J59" s="42" t="str">
        <f aca="false">IF(F59="","",F59*I59)</f>
        <v/>
      </c>
      <c r="K59" s="53"/>
      <c r="L59" s="42" t="str">
        <f aca="false">IF(J59="","",J59*IF(K59="",Assumptions!$B$6,K59))</f>
        <v/>
      </c>
      <c r="M59" s="44" t="str">
        <f aca="false">IF(J59="","",J59+L59)</f>
        <v/>
      </c>
      <c r="N59" s="52"/>
      <c r="O59" s="52"/>
      <c r="P59" s="52"/>
      <c r="Q59" s="42" t="str">
        <f aca="false">IF(AND(O59="",P59=""),"",N(O59)+N(P59))</f>
        <v/>
      </c>
      <c r="R59" s="42" t="str">
        <f aca="false">IF(OR(M59="",Q59=""),"",M59-Q59)</f>
        <v/>
      </c>
      <c r="S59" s="45" t="str">
        <f aca="false">IF(OR(R59="",N(M59)=0),"",R59/M59)</f>
        <v/>
      </c>
    </row>
    <row r="60" customFormat="false" ht="15" hidden="false" customHeight="false" outlineLevel="0" collapsed="false">
      <c r="A60" s="54"/>
      <c r="B60" s="54"/>
      <c r="C60" s="54"/>
      <c r="D60" s="54"/>
      <c r="E60" s="54"/>
      <c r="F60" s="55"/>
      <c r="G60" s="54"/>
      <c r="H60" s="56"/>
      <c r="I60" s="42" t="n">
        <f aca="false">IF(H60&lt;&gt;"",H60,IF(E60&lt;&gt;"",IFERROR(VLOOKUP(E60,Assumptions!$E$5:$F$12,2,FALSE()),0),0))</f>
        <v>0</v>
      </c>
      <c r="J60" s="42" t="str">
        <f aca="false">IF(F60="","",F60*I60)</f>
        <v/>
      </c>
      <c r="K60" s="57"/>
      <c r="L60" s="42" t="str">
        <f aca="false">IF(J60="","",J60*IF(K60="",Assumptions!$B$6,K60))</f>
        <v/>
      </c>
      <c r="M60" s="44" t="str">
        <f aca="false">IF(J60="","",J60+L60)</f>
        <v/>
      </c>
      <c r="N60" s="56"/>
      <c r="O60" s="56"/>
      <c r="P60" s="56"/>
      <c r="Q60" s="42" t="str">
        <f aca="false">IF(AND(O60="",P60=""),"",N(O60)+N(P60))</f>
        <v/>
      </c>
      <c r="R60" s="42" t="str">
        <f aca="false">IF(OR(M60="",Q60=""),"",M60-Q60)</f>
        <v/>
      </c>
      <c r="S60" s="45" t="str">
        <f aca="false">IF(OR(R60="",N(M60)=0),"",R60/M60)</f>
        <v/>
      </c>
    </row>
    <row r="61" customFormat="false" ht="15" hidden="false" customHeight="false" outlineLevel="0" collapsed="false">
      <c r="A61" s="50"/>
      <c r="B61" s="50"/>
      <c r="C61" s="50"/>
      <c r="D61" s="50"/>
      <c r="E61" s="50"/>
      <c r="F61" s="51"/>
      <c r="G61" s="50"/>
      <c r="H61" s="52"/>
      <c r="I61" s="42" t="n">
        <f aca="false">IF(H61&lt;&gt;"",H61,IF(E61&lt;&gt;"",IFERROR(VLOOKUP(E61,Assumptions!$E$5:$F$12,2,FALSE()),0),0))</f>
        <v>0</v>
      </c>
      <c r="J61" s="42" t="str">
        <f aca="false">IF(F61="","",F61*I61)</f>
        <v/>
      </c>
      <c r="K61" s="53"/>
      <c r="L61" s="42" t="str">
        <f aca="false">IF(J61="","",J61*IF(K61="",Assumptions!$B$6,K61))</f>
        <v/>
      </c>
      <c r="M61" s="44" t="str">
        <f aca="false">IF(J61="","",J61+L61)</f>
        <v/>
      </c>
      <c r="N61" s="52"/>
      <c r="O61" s="52"/>
      <c r="P61" s="52"/>
      <c r="Q61" s="42" t="str">
        <f aca="false">IF(AND(O61="",P61=""),"",N(O61)+N(P61))</f>
        <v/>
      </c>
      <c r="R61" s="42" t="str">
        <f aca="false">IF(OR(M61="",Q61=""),"",M61-Q61)</f>
        <v/>
      </c>
      <c r="S61" s="45" t="str">
        <f aca="false">IF(OR(R61="",N(M61)=0),"",R61/M61)</f>
        <v/>
      </c>
    </row>
    <row r="62" customFormat="false" ht="15" hidden="false" customHeight="false" outlineLevel="0" collapsed="false">
      <c r="A62" s="54"/>
      <c r="B62" s="54"/>
      <c r="C62" s="54"/>
      <c r="D62" s="54"/>
      <c r="E62" s="54"/>
      <c r="F62" s="55"/>
      <c r="G62" s="54"/>
      <c r="H62" s="56"/>
      <c r="I62" s="42" t="n">
        <f aca="false">IF(H62&lt;&gt;"",H62,IF(E62&lt;&gt;"",IFERROR(VLOOKUP(E62,Assumptions!$E$5:$F$12,2,FALSE()),0),0))</f>
        <v>0</v>
      </c>
      <c r="J62" s="42" t="str">
        <f aca="false">IF(F62="","",F62*I62)</f>
        <v/>
      </c>
      <c r="K62" s="57"/>
      <c r="L62" s="42" t="str">
        <f aca="false">IF(J62="","",J62*IF(K62="",Assumptions!$B$6,K62))</f>
        <v/>
      </c>
      <c r="M62" s="44" t="str">
        <f aca="false">IF(J62="","",J62+L62)</f>
        <v/>
      </c>
      <c r="N62" s="56"/>
      <c r="O62" s="56"/>
      <c r="P62" s="56"/>
      <c r="Q62" s="42" t="str">
        <f aca="false">IF(AND(O62="",P62=""),"",N(O62)+N(P62))</f>
        <v/>
      </c>
      <c r="R62" s="42" t="str">
        <f aca="false">IF(OR(M62="",Q62=""),"",M62-Q62)</f>
        <v/>
      </c>
      <c r="S62" s="45" t="str">
        <f aca="false">IF(OR(R62="",N(M62)=0),"",R62/M62)</f>
        <v/>
      </c>
    </row>
    <row r="63" customFormat="false" ht="15" hidden="false" customHeight="false" outlineLevel="0" collapsed="false">
      <c r="A63" s="50"/>
      <c r="B63" s="50"/>
      <c r="C63" s="50"/>
      <c r="D63" s="50"/>
      <c r="E63" s="50"/>
      <c r="F63" s="51"/>
      <c r="G63" s="50"/>
      <c r="H63" s="52"/>
      <c r="I63" s="42" t="n">
        <f aca="false">IF(H63&lt;&gt;"",H63,IF(E63&lt;&gt;"",IFERROR(VLOOKUP(E63,Assumptions!$E$5:$F$12,2,FALSE()),0),0))</f>
        <v>0</v>
      </c>
      <c r="J63" s="42" t="str">
        <f aca="false">IF(F63="","",F63*I63)</f>
        <v/>
      </c>
      <c r="K63" s="53"/>
      <c r="L63" s="42" t="str">
        <f aca="false">IF(J63="","",J63*IF(K63="",Assumptions!$B$6,K63))</f>
        <v/>
      </c>
      <c r="M63" s="44" t="str">
        <f aca="false">IF(J63="","",J63+L63)</f>
        <v/>
      </c>
      <c r="N63" s="52"/>
      <c r="O63" s="52"/>
      <c r="P63" s="52"/>
      <c r="Q63" s="42" t="str">
        <f aca="false">IF(AND(O63="",P63=""),"",N(O63)+N(P63))</f>
        <v/>
      </c>
      <c r="R63" s="42" t="str">
        <f aca="false">IF(OR(M63="",Q63=""),"",M63-Q63)</f>
        <v/>
      </c>
      <c r="S63" s="45" t="str">
        <f aca="false">IF(OR(R63="",N(M63)=0),"",R63/M63)</f>
        <v/>
      </c>
    </row>
    <row r="64" customFormat="false" ht="15" hidden="false" customHeight="false" outlineLevel="0" collapsed="false">
      <c r="A64" s="54"/>
      <c r="B64" s="54"/>
      <c r="C64" s="54"/>
      <c r="D64" s="54"/>
      <c r="E64" s="54"/>
      <c r="F64" s="55"/>
      <c r="G64" s="54"/>
      <c r="H64" s="56"/>
      <c r="I64" s="42" t="n">
        <f aca="false">IF(H64&lt;&gt;"",H64,IF(E64&lt;&gt;"",IFERROR(VLOOKUP(E64,Assumptions!$E$5:$F$12,2,FALSE()),0),0))</f>
        <v>0</v>
      </c>
      <c r="J64" s="42" t="str">
        <f aca="false">IF(F64="","",F64*I64)</f>
        <v/>
      </c>
      <c r="K64" s="57"/>
      <c r="L64" s="42" t="str">
        <f aca="false">IF(J64="","",J64*IF(K64="",Assumptions!$B$6,K64))</f>
        <v/>
      </c>
      <c r="M64" s="44" t="str">
        <f aca="false">IF(J64="","",J64+L64)</f>
        <v/>
      </c>
      <c r="N64" s="56"/>
      <c r="O64" s="56"/>
      <c r="P64" s="56"/>
      <c r="Q64" s="42" t="str">
        <f aca="false">IF(AND(O64="",P64=""),"",N(O64)+N(P64))</f>
        <v/>
      </c>
      <c r="R64" s="42" t="str">
        <f aca="false">IF(OR(M64="",Q64=""),"",M64-Q64)</f>
        <v/>
      </c>
      <c r="S64" s="45" t="str">
        <f aca="false">IF(OR(R64="",N(M64)=0),"",R64/M64)</f>
        <v/>
      </c>
    </row>
    <row r="65" customFormat="false" ht="15" hidden="false" customHeight="false" outlineLevel="0" collapsed="false">
      <c r="A65" s="50"/>
      <c r="B65" s="50"/>
      <c r="C65" s="50"/>
      <c r="D65" s="50"/>
      <c r="E65" s="50"/>
      <c r="F65" s="51"/>
      <c r="G65" s="50"/>
      <c r="H65" s="52"/>
      <c r="I65" s="42" t="n">
        <f aca="false">IF(H65&lt;&gt;"",H65,IF(E65&lt;&gt;"",IFERROR(VLOOKUP(E65,Assumptions!$E$5:$F$12,2,FALSE()),0),0))</f>
        <v>0</v>
      </c>
      <c r="J65" s="42" t="str">
        <f aca="false">IF(F65="","",F65*I65)</f>
        <v/>
      </c>
      <c r="K65" s="53"/>
      <c r="L65" s="42" t="str">
        <f aca="false">IF(J65="","",J65*IF(K65="",Assumptions!$B$6,K65))</f>
        <v/>
      </c>
      <c r="M65" s="44" t="str">
        <f aca="false">IF(J65="","",J65+L65)</f>
        <v/>
      </c>
      <c r="N65" s="52"/>
      <c r="O65" s="52"/>
      <c r="P65" s="52"/>
      <c r="Q65" s="42" t="str">
        <f aca="false">IF(AND(O65="",P65=""),"",N(O65)+N(P65))</f>
        <v/>
      </c>
      <c r="R65" s="42" t="str">
        <f aca="false">IF(OR(M65="",Q65=""),"",M65-Q65)</f>
        <v/>
      </c>
      <c r="S65" s="45" t="str">
        <f aca="false">IF(OR(R65="",N(M65)=0),"",R65/M65)</f>
        <v/>
      </c>
    </row>
    <row r="66" customFormat="false" ht="15" hidden="false" customHeight="false" outlineLevel="0" collapsed="false">
      <c r="A66" s="54"/>
      <c r="B66" s="54"/>
      <c r="C66" s="54"/>
      <c r="D66" s="54"/>
      <c r="E66" s="54"/>
      <c r="F66" s="55"/>
      <c r="G66" s="54"/>
      <c r="H66" s="56"/>
      <c r="I66" s="42" t="n">
        <f aca="false">IF(H66&lt;&gt;"",H66,IF(E66&lt;&gt;"",IFERROR(VLOOKUP(E66,Assumptions!$E$5:$F$12,2,FALSE()),0),0))</f>
        <v>0</v>
      </c>
      <c r="J66" s="42" t="str">
        <f aca="false">IF(F66="","",F66*I66)</f>
        <v/>
      </c>
      <c r="K66" s="57"/>
      <c r="L66" s="42" t="str">
        <f aca="false">IF(J66="","",J66*IF(K66="",Assumptions!$B$6,K66))</f>
        <v/>
      </c>
      <c r="M66" s="44" t="str">
        <f aca="false">IF(J66="","",J66+L66)</f>
        <v/>
      </c>
      <c r="N66" s="56"/>
      <c r="O66" s="56"/>
      <c r="P66" s="56"/>
      <c r="Q66" s="42" t="str">
        <f aca="false">IF(AND(O66="",P66=""),"",N(O66)+N(P66))</f>
        <v/>
      </c>
      <c r="R66" s="42" t="str">
        <f aca="false">IF(OR(M66="",Q66=""),"",M66-Q66)</f>
        <v/>
      </c>
      <c r="S66" s="45" t="str">
        <f aca="false">IF(OR(R66="",N(M66)=0),"",R66/M66)</f>
        <v/>
      </c>
    </row>
    <row r="67" customFormat="false" ht="15" hidden="false" customHeight="false" outlineLevel="0" collapsed="false">
      <c r="A67" s="50"/>
      <c r="B67" s="50"/>
      <c r="C67" s="50"/>
      <c r="D67" s="50"/>
      <c r="E67" s="50"/>
      <c r="F67" s="51"/>
      <c r="G67" s="50"/>
      <c r="H67" s="52"/>
      <c r="I67" s="42" t="n">
        <f aca="false">IF(H67&lt;&gt;"",H67,IF(E67&lt;&gt;"",IFERROR(VLOOKUP(E67,Assumptions!$E$5:$F$12,2,FALSE()),0),0))</f>
        <v>0</v>
      </c>
      <c r="J67" s="42" t="str">
        <f aca="false">IF(F67="","",F67*I67)</f>
        <v/>
      </c>
      <c r="K67" s="53"/>
      <c r="L67" s="42" t="str">
        <f aca="false">IF(J67="","",J67*IF(K67="",Assumptions!$B$6,K67))</f>
        <v/>
      </c>
      <c r="M67" s="44" t="str">
        <f aca="false">IF(J67="","",J67+L67)</f>
        <v/>
      </c>
      <c r="N67" s="52"/>
      <c r="O67" s="52"/>
      <c r="P67" s="52"/>
      <c r="Q67" s="42" t="str">
        <f aca="false">IF(AND(O67="",P67=""),"",N(O67)+N(P67))</f>
        <v/>
      </c>
      <c r="R67" s="42" t="str">
        <f aca="false">IF(OR(M67="",Q67=""),"",M67-Q67)</f>
        <v/>
      </c>
      <c r="S67" s="45" t="str">
        <f aca="false">IF(OR(R67="",N(M67)=0),"",R67/M67)</f>
        <v/>
      </c>
    </row>
    <row r="68" customFormat="false" ht="15" hidden="false" customHeight="false" outlineLevel="0" collapsed="false">
      <c r="A68" s="54"/>
      <c r="B68" s="54"/>
      <c r="C68" s="54"/>
      <c r="D68" s="54"/>
      <c r="E68" s="54"/>
      <c r="F68" s="55"/>
      <c r="G68" s="54"/>
      <c r="H68" s="56"/>
      <c r="I68" s="42" t="n">
        <f aca="false">IF(H68&lt;&gt;"",H68,IF(E68&lt;&gt;"",IFERROR(VLOOKUP(E68,Assumptions!$E$5:$F$12,2,FALSE()),0),0))</f>
        <v>0</v>
      </c>
      <c r="J68" s="42" t="str">
        <f aca="false">IF(F68="","",F68*I68)</f>
        <v/>
      </c>
      <c r="K68" s="57"/>
      <c r="L68" s="42" t="str">
        <f aca="false">IF(J68="","",J68*IF(K68="",Assumptions!$B$6,K68))</f>
        <v/>
      </c>
      <c r="M68" s="44" t="str">
        <f aca="false">IF(J68="","",J68+L68)</f>
        <v/>
      </c>
      <c r="N68" s="56"/>
      <c r="O68" s="56"/>
      <c r="P68" s="56"/>
      <c r="Q68" s="42" t="str">
        <f aca="false">IF(AND(O68="",P68=""),"",N(O68)+N(P68))</f>
        <v/>
      </c>
      <c r="R68" s="42" t="str">
        <f aca="false">IF(OR(M68="",Q68=""),"",M68-Q68)</f>
        <v/>
      </c>
      <c r="S68" s="45" t="str">
        <f aca="false">IF(OR(R68="",N(M68)=0),"",R68/M68)</f>
        <v/>
      </c>
    </row>
    <row r="69" customFormat="false" ht="15" hidden="false" customHeight="false" outlineLevel="0" collapsed="false">
      <c r="A69" s="50"/>
      <c r="B69" s="50"/>
      <c r="C69" s="50"/>
      <c r="D69" s="50"/>
      <c r="E69" s="50"/>
      <c r="F69" s="51"/>
      <c r="G69" s="50"/>
      <c r="H69" s="52"/>
      <c r="I69" s="42" t="n">
        <f aca="false">IF(H69&lt;&gt;"",H69,IF(E69&lt;&gt;"",IFERROR(VLOOKUP(E69,Assumptions!$E$5:$F$12,2,FALSE()),0),0))</f>
        <v>0</v>
      </c>
      <c r="J69" s="42" t="str">
        <f aca="false">IF(F69="","",F69*I69)</f>
        <v/>
      </c>
      <c r="K69" s="53"/>
      <c r="L69" s="42" t="str">
        <f aca="false">IF(J69="","",J69*IF(K69="",Assumptions!$B$6,K69))</f>
        <v/>
      </c>
      <c r="M69" s="44" t="str">
        <f aca="false">IF(J69="","",J69+L69)</f>
        <v/>
      </c>
      <c r="N69" s="52"/>
      <c r="O69" s="52"/>
      <c r="P69" s="52"/>
      <c r="Q69" s="42" t="str">
        <f aca="false">IF(AND(O69="",P69=""),"",N(O69)+N(P69))</f>
        <v/>
      </c>
      <c r="R69" s="42" t="str">
        <f aca="false">IF(OR(M69="",Q69=""),"",M69-Q69)</f>
        <v/>
      </c>
      <c r="S69" s="45" t="str">
        <f aca="false">IF(OR(R69="",N(M69)=0),"",R69/M69)</f>
        <v/>
      </c>
    </row>
    <row r="70" customFormat="false" ht="15" hidden="false" customHeight="false" outlineLevel="0" collapsed="false">
      <c r="A70" s="54"/>
      <c r="B70" s="54"/>
      <c r="C70" s="54"/>
      <c r="D70" s="54"/>
      <c r="E70" s="54"/>
      <c r="F70" s="55"/>
      <c r="G70" s="54"/>
      <c r="H70" s="56"/>
      <c r="I70" s="42" t="n">
        <f aca="false">IF(H70&lt;&gt;"",H70,IF(E70&lt;&gt;"",IFERROR(VLOOKUP(E70,Assumptions!$E$5:$F$12,2,FALSE()),0),0))</f>
        <v>0</v>
      </c>
      <c r="J70" s="42" t="str">
        <f aca="false">IF(F70="","",F70*I70)</f>
        <v/>
      </c>
      <c r="K70" s="57"/>
      <c r="L70" s="42" t="str">
        <f aca="false">IF(J70="","",J70*IF(K70="",Assumptions!$B$6,K70))</f>
        <v/>
      </c>
      <c r="M70" s="44" t="str">
        <f aca="false">IF(J70="","",J70+L70)</f>
        <v/>
      </c>
      <c r="N70" s="56"/>
      <c r="O70" s="56"/>
      <c r="P70" s="56"/>
      <c r="Q70" s="42" t="str">
        <f aca="false">IF(AND(O70="",P70=""),"",N(O70)+N(P70))</f>
        <v/>
      </c>
      <c r="R70" s="42" t="str">
        <f aca="false">IF(OR(M70="",Q70=""),"",M70-Q70)</f>
        <v/>
      </c>
      <c r="S70" s="45" t="str">
        <f aca="false">IF(OR(R70="",N(M70)=0),"",R70/M70)</f>
        <v/>
      </c>
    </row>
    <row r="71" customFormat="false" ht="15" hidden="false" customHeight="false" outlineLevel="0" collapsed="false">
      <c r="A71" s="50"/>
      <c r="B71" s="50"/>
      <c r="C71" s="50"/>
      <c r="D71" s="50"/>
      <c r="E71" s="50"/>
      <c r="F71" s="51"/>
      <c r="G71" s="50"/>
      <c r="H71" s="52"/>
      <c r="I71" s="42" t="n">
        <f aca="false">IF(H71&lt;&gt;"",H71,IF(E71&lt;&gt;"",IFERROR(VLOOKUP(E71,Assumptions!$E$5:$F$12,2,FALSE()),0),0))</f>
        <v>0</v>
      </c>
      <c r="J71" s="42" t="str">
        <f aca="false">IF(F71="","",F71*I71)</f>
        <v/>
      </c>
      <c r="K71" s="53"/>
      <c r="L71" s="42" t="str">
        <f aca="false">IF(J71="","",J71*IF(K71="",Assumptions!$B$6,K71))</f>
        <v/>
      </c>
      <c r="M71" s="44" t="str">
        <f aca="false">IF(J71="","",J71+L71)</f>
        <v/>
      </c>
      <c r="N71" s="52"/>
      <c r="O71" s="52"/>
      <c r="P71" s="52"/>
      <c r="Q71" s="42" t="str">
        <f aca="false">IF(AND(O71="",P71=""),"",N(O71)+N(P71))</f>
        <v/>
      </c>
      <c r="R71" s="42" t="str">
        <f aca="false">IF(OR(M71="",Q71=""),"",M71-Q71)</f>
        <v/>
      </c>
      <c r="S71" s="45" t="str">
        <f aca="false">IF(OR(R71="",N(M71)=0),"",R71/M71)</f>
        <v/>
      </c>
    </row>
    <row r="72" customFormat="false" ht="15" hidden="false" customHeight="false" outlineLevel="0" collapsed="false">
      <c r="A72" s="54"/>
      <c r="B72" s="54"/>
      <c r="C72" s="54"/>
      <c r="D72" s="54"/>
      <c r="E72" s="54"/>
      <c r="F72" s="55"/>
      <c r="G72" s="54"/>
      <c r="H72" s="56"/>
      <c r="I72" s="42" t="n">
        <f aca="false">IF(H72&lt;&gt;"",H72,IF(E72&lt;&gt;"",IFERROR(VLOOKUP(E72,Assumptions!$E$5:$F$12,2,FALSE()),0),0))</f>
        <v>0</v>
      </c>
      <c r="J72" s="42" t="str">
        <f aca="false">IF(F72="","",F72*I72)</f>
        <v/>
      </c>
      <c r="K72" s="57"/>
      <c r="L72" s="42" t="str">
        <f aca="false">IF(J72="","",J72*IF(K72="",Assumptions!$B$6,K72))</f>
        <v/>
      </c>
      <c r="M72" s="44" t="str">
        <f aca="false">IF(J72="","",J72+L72)</f>
        <v/>
      </c>
      <c r="N72" s="56"/>
      <c r="O72" s="56"/>
      <c r="P72" s="56"/>
      <c r="Q72" s="42" t="str">
        <f aca="false">IF(AND(O72="",P72=""),"",N(O72)+N(P72))</f>
        <v/>
      </c>
      <c r="R72" s="42" t="str">
        <f aca="false">IF(OR(M72="",Q72=""),"",M72-Q72)</f>
        <v/>
      </c>
      <c r="S72" s="45" t="str">
        <f aca="false">IF(OR(R72="",N(M72)=0),"",R72/M72)</f>
        <v/>
      </c>
    </row>
    <row r="73" customFormat="false" ht="15" hidden="false" customHeight="false" outlineLevel="0" collapsed="false">
      <c r="A73" s="50"/>
      <c r="B73" s="50"/>
      <c r="C73" s="50"/>
      <c r="D73" s="50"/>
      <c r="E73" s="50"/>
      <c r="F73" s="51"/>
      <c r="G73" s="50"/>
      <c r="H73" s="52"/>
      <c r="I73" s="42" t="n">
        <f aca="false">IF(H73&lt;&gt;"",H73,IF(E73&lt;&gt;"",IFERROR(VLOOKUP(E73,Assumptions!$E$5:$F$12,2,FALSE()),0),0))</f>
        <v>0</v>
      </c>
      <c r="J73" s="42" t="str">
        <f aca="false">IF(F73="","",F73*I73)</f>
        <v/>
      </c>
      <c r="K73" s="53"/>
      <c r="L73" s="42" t="str">
        <f aca="false">IF(J73="","",J73*IF(K73="",Assumptions!$B$6,K73))</f>
        <v/>
      </c>
      <c r="M73" s="44" t="str">
        <f aca="false">IF(J73="","",J73+L73)</f>
        <v/>
      </c>
      <c r="N73" s="52"/>
      <c r="O73" s="52"/>
      <c r="P73" s="52"/>
      <c r="Q73" s="42" t="str">
        <f aca="false">IF(AND(O73="",P73=""),"",N(O73)+N(P73))</f>
        <v/>
      </c>
      <c r="R73" s="42" t="str">
        <f aca="false">IF(OR(M73="",Q73=""),"",M73-Q73)</f>
        <v/>
      </c>
      <c r="S73" s="45" t="str">
        <f aca="false">IF(OR(R73="",N(M73)=0),"",R73/M73)</f>
        <v/>
      </c>
    </row>
    <row r="74" customFormat="false" ht="15" hidden="false" customHeight="false" outlineLevel="0" collapsed="false">
      <c r="A74" s="54"/>
      <c r="B74" s="54"/>
      <c r="C74" s="54"/>
      <c r="D74" s="54"/>
      <c r="E74" s="54"/>
      <c r="F74" s="55"/>
      <c r="G74" s="54"/>
      <c r="H74" s="56"/>
      <c r="I74" s="42" t="n">
        <f aca="false">IF(H74&lt;&gt;"",H74,IF(E74&lt;&gt;"",IFERROR(VLOOKUP(E74,Assumptions!$E$5:$F$12,2,FALSE()),0),0))</f>
        <v>0</v>
      </c>
      <c r="J74" s="42" t="str">
        <f aca="false">IF(F74="","",F74*I74)</f>
        <v/>
      </c>
      <c r="K74" s="57"/>
      <c r="L74" s="42" t="str">
        <f aca="false">IF(J74="","",J74*IF(K74="",Assumptions!$B$6,K74))</f>
        <v/>
      </c>
      <c r="M74" s="44" t="str">
        <f aca="false">IF(J74="","",J74+L74)</f>
        <v/>
      </c>
      <c r="N74" s="56"/>
      <c r="O74" s="56"/>
      <c r="P74" s="56"/>
      <c r="Q74" s="42" t="str">
        <f aca="false">IF(AND(O74="",P74=""),"",N(O74)+N(P74))</f>
        <v/>
      </c>
      <c r="R74" s="42" t="str">
        <f aca="false">IF(OR(M74="",Q74=""),"",M74-Q74)</f>
        <v/>
      </c>
      <c r="S74" s="45" t="str">
        <f aca="false">IF(OR(R74="",N(M74)=0),"",R74/M74)</f>
        <v/>
      </c>
    </row>
    <row r="75" customFormat="false" ht="15" hidden="false" customHeight="false" outlineLevel="0" collapsed="false">
      <c r="A75" s="50"/>
      <c r="B75" s="50"/>
      <c r="C75" s="50"/>
      <c r="D75" s="50"/>
      <c r="E75" s="50"/>
      <c r="F75" s="51"/>
      <c r="G75" s="50"/>
      <c r="H75" s="52"/>
      <c r="I75" s="42" t="n">
        <f aca="false">IF(H75&lt;&gt;"",H75,IF(E75&lt;&gt;"",IFERROR(VLOOKUP(E75,Assumptions!$E$5:$F$12,2,FALSE()),0),0))</f>
        <v>0</v>
      </c>
      <c r="J75" s="42" t="str">
        <f aca="false">IF(F75="","",F75*I75)</f>
        <v/>
      </c>
      <c r="K75" s="53"/>
      <c r="L75" s="42" t="str">
        <f aca="false">IF(J75="","",J75*IF(K75="",Assumptions!$B$6,K75))</f>
        <v/>
      </c>
      <c r="M75" s="44" t="str">
        <f aca="false">IF(J75="","",J75+L75)</f>
        <v/>
      </c>
      <c r="N75" s="52"/>
      <c r="O75" s="52"/>
      <c r="P75" s="52"/>
      <c r="Q75" s="42" t="str">
        <f aca="false">IF(AND(O75="",P75=""),"",N(O75)+N(P75))</f>
        <v/>
      </c>
      <c r="R75" s="42" t="str">
        <f aca="false">IF(OR(M75="",Q75=""),"",M75-Q75)</f>
        <v/>
      </c>
      <c r="S75" s="45" t="str">
        <f aca="false">IF(OR(R75="",N(M75)=0),"",R75/M75)</f>
        <v/>
      </c>
    </row>
    <row r="76" customFormat="false" ht="15" hidden="false" customHeight="false" outlineLevel="0" collapsed="false">
      <c r="A76" s="54"/>
      <c r="B76" s="54"/>
      <c r="C76" s="54"/>
      <c r="D76" s="54"/>
      <c r="E76" s="54"/>
      <c r="F76" s="55"/>
      <c r="G76" s="54"/>
      <c r="H76" s="56"/>
      <c r="I76" s="42" t="n">
        <f aca="false">IF(H76&lt;&gt;"",H76,IF(E76&lt;&gt;"",IFERROR(VLOOKUP(E76,Assumptions!$E$5:$F$12,2,FALSE()),0),0))</f>
        <v>0</v>
      </c>
      <c r="J76" s="42" t="str">
        <f aca="false">IF(F76="","",F76*I76)</f>
        <v/>
      </c>
      <c r="K76" s="57"/>
      <c r="L76" s="42" t="str">
        <f aca="false">IF(J76="","",J76*IF(K76="",Assumptions!$B$6,K76))</f>
        <v/>
      </c>
      <c r="M76" s="44" t="str">
        <f aca="false">IF(J76="","",J76+L76)</f>
        <v/>
      </c>
      <c r="N76" s="56"/>
      <c r="O76" s="56"/>
      <c r="P76" s="56"/>
      <c r="Q76" s="42" t="str">
        <f aca="false">IF(AND(O76="",P76=""),"",N(O76)+N(P76))</f>
        <v/>
      </c>
      <c r="R76" s="42" t="str">
        <f aca="false">IF(OR(M76="",Q76=""),"",M76-Q76)</f>
        <v/>
      </c>
      <c r="S76" s="45" t="str">
        <f aca="false">IF(OR(R76="",N(M76)=0),"",R76/M76)</f>
        <v/>
      </c>
    </row>
    <row r="77" customFormat="false" ht="15" hidden="false" customHeight="false" outlineLevel="0" collapsed="false">
      <c r="A77" s="50"/>
      <c r="B77" s="50"/>
      <c r="C77" s="50"/>
      <c r="D77" s="50"/>
      <c r="E77" s="50"/>
      <c r="F77" s="51"/>
      <c r="G77" s="50"/>
      <c r="H77" s="52"/>
      <c r="I77" s="42" t="n">
        <f aca="false">IF(H77&lt;&gt;"",H77,IF(E77&lt;&gt;"",IFERROR(VLOOKUP(E77,Assumptions!$E$5:$F$12,2,FALSE()),0),0))</f>
        <v>0</v>
      </c>
      <c r="J77" s="42" t="str">
        <f aca="false">IF(F77="","",F77*I77)</f>
        <v/>
      </c>
      <c r="K77" s="53"/>
      <c r="L77" s="42" t="str">
        <f aca="false">IF(J77="","",J77*IF(K77="",Assumptions!$B$6,K77))</f>
        <v/>
      </c>
      <c r="M77" s="44" t="str">
        <f aca="false">IF(J77="","",J77+L77)</f>
        <v/>
      </c>
      <c r="N77" s="52"/>
      <c r="O77" s="52"/>
      <c r="P77" s="52"/>
      <c r="Q77" s="42" t="str">
        <f aca="false">IF(AND(O77="",P77=""),"",N(O77)+N(P77))</f>
        <v/>
      </c>
      <c r="R77" s="42" t="str">
        <f aca="false">IF(OR(M77="",Q77=""),"",M77-Q77)</f>
        <v/>
      </c>
      <c r="S77" s="45" t="str">
        <f aca="false">IF(OR(R77="",N(M77)=0),"",R77/M77)</f>
        <v/>
      </c>
    </row>
    <row r="78" customFormat="false" ht="15" hidden="false" customHeight="false" outlineLevel="0" collapsed="false">
      <c r="A78" s="54"/>
      <c r="B78" s="54"/>
      <c r="C78" s="54"/>
      <c r="D78" s="54"/>
      <c r="E78" s="54"/>
      <c r="F78" s="55"/>
      <c r="G78" s="54"/>
      <c r="H78" s="56"/>
      <c r="I78" s="42" t="n">
        <f aca="false">IF(H78&lt;&gt;"",H78,IF(E78&lt;&gt;"",IFERROR(VLOOKUP(E78,Assumptions!$E$5:$F$12,2,FALSE()),0),0))</f>
        <v>0</v>
      </c>
      <c r="J78" s="42" t="str">
        <f aca="false">IF(F78="","",F78*I78)</f>
        <v/>
      </c>
      <c r="K78" s="57"/>
      <c r="L78" s="42" t="str">
        <f aca="false">IF(J78="","",J78*IF(K78="",Assumptions!$B$6,K78))</f>
        <v/>
      </c>
      <c r="M78" s="44" t="str">
        <f aca="false">IF(J78="","",J78+L78)</f>
        <v/>
      </c>
      <c r="N78" s="56"/>
      <c r="O78" s="56"/>
      <c r="P78" s="56"/>
      <c r="Q78" s="42" t="str">
        <f aca="false">IF(AND(O78="",P78=""),"",N(O78)+N(P78))</f>
        <v/>
      </c>
      <c r="R78" s="42" t="str">
        <f aca="false">IF(OR(M78="",Q78=""),"",M78-Q78)</f>
        <v/>
      </c>
      <c r="S78" s="45" t="str">
        <f aca="false">IF(OR(R78="",N(M78)=0),"",R78/M78)</f>
        <v/>
      </c>
    </row>
    <row r="79" customFormat="false" ht="15" hidden="false" customHeight="false" outlineLevel="0" collapsed="false">
      <c r="A79" s="50"/>
      <c r="B79" s="50"/>
      <c r="C79" s="50"/>
      <c r="D79" s="50"/>
      <c r="E79" s="50"/>
      <c r="F79" s="51"/>
      <c r="G79" s="50"/>
      <c r="H79" s="52"/>
      <c r="I79" s="42" t="n">
        <f aca="false">IF(H79&lt;&gt;"",H79,IF(E79&lt;&gt;"",IFERROR(VLOOKUP(E79,Assumptions!$E$5:$F$12,2,FALSE()),0),0))</f>
        <v>0</v>
      </c>
      <c r="J79" s="42" t="str">
        <f aca="false">IF(F79="","",F79*I79)</f>
        <v/>
      </c>
      <c r="K79" s="53"/>
      <c r="L79" s="42" t="str">
        <f aca="false">IF(J79="","",J79*IF(K79="",Assumptions!$B$6,K79))</f>
        <v/>
      </c>
      <c r="M79" s="44" t="str">
        <f aca="false">IF(J79="","",J79+L79)</f>
        <v/>
      </c>
      <c r="N79" s="52"/>
      <c r="O79" s="52"/>
      <c r="P79" s="52"/>
      <c r="Q79" s="42" t="str">
        <f aca="false">IF(AND(O79="",P79=""),"",N(O79)+N(P79))</f>
        <v/>
      </c>
      <c r="R79" s="42" t="str">
        <f aca="false">IF(OR(M79="",Q79=""),"",M79-Q79)</f>
        <v/>
      </c>
      <c r="S79" s="45" t="str">
        <f aca="false">IF(OR(R79="",N(M79)=0),"",R79/M79)</f>
        <v/>
      </c>
    </row>
    <row r="80" customFormat="false" ht="15" hidden="false" customHeight="false" outlineLevel="0" collapsed="false">
      <c r="A80" s="54"/>
      <c r="B80" s="54"/>
      <c r="C80" s="54"/>
      <c r="D80" s="54"/>
      <c r="E80" s="54"/>
      <c r="F80" s="55"/>
      <c r="G80" s="54"/>
      <c r="H80" s="56"/>
      <c r="I80" s="42" t="n">
        <f aca="false">IF(H80&lt;&gt;"",H80,IF(E80&lt;&gt;"",IFERROR(VLOOKUP(E80,Assumptions!$E$5:$F$12,2,FALSE()),0),0))</f>
        <v>0</v>
      </c>
      <c r="J80" s="42" t="str">
        <f aca="false">IF(F80="","",F80*I80)</f>
        <v/>
      </c>
      <c r="K80" s="57"/>
      <c r="L80" s="42" t="str">
        <f aca="false">IF(J80="","",J80*IF(K80="",Assumptions!$B$6,K80))</f>
        <v/>
      </c>
      <c r="M80" s="44" t="str">
        <f aca="false">IF(J80="","",J80+L80)</f>
        <v/>
      </c>
      <c r="N80" s="56"/>
      <c r="O80" s="56"/>
      <c r="P80" s="56"/>
      <c r="Q80" s="42" t="str">
        <f aca="false">IF(AND(O80="",P80=""),"",N(O80)+N(P80))</f>
        <v/>
      </c>
      <c r="R80" s="42" t="str">
        <f aca="false">IF(OR(M80="",Q80=""),"",M80-Q80)</f>
        <v/>
      </c>
      <c r="S80" s="45" t="str">
        <f aca="false">IF(OR(R80="",N(M80)=0),"",R80/M80)</f>
        <v/>
      </c>
    </row>
    <row r="81" customFormat="false" ht="15" hidden="false" customHeight="false" outlineLevel="0" collapsed="false">
      <c r="A81" s="50"/>
      <c r="B81" s="50"/>
      <c r="C81" s="50"/>
      <c r="D81" s="50"/>
      <c r="E81" s="50"/>
      <c r="F81" s="51"/>
      <c r="G81" s="50"/>
      <c r="H81" s="52"/>
      <c r="I81" s="42" t="n">
        <f aca="false">IF(H81&lt;&gt;"",H81,IF(E81&lt;&gt;"",IFERROR(VLOOKUP(E81,Assumptions!$E$5:$F$12,2,FALSE()),0),0))</f>
        <v>0</v>
      </c>
      <c r="J81" s="42" t="str">
        <f aca="false">IF(F81="","",F81*I81)</f>
        <v/>
      </c>
      <c r="K81" s="53"/>
      <c r="L81" s="42" t="str">
        <f aca="false">IF(J81="","",J81*IF(K81="",Assumptions!$B$6,K81))</f>
        <v/>
      </c>
      <c r="M81" s="44" t="str">
        <f aca="false">IF(J81="","",J81+L81)</f>
        <v/>
      </c>
      <c r="N81" s="52"/>
      <c r="O81" s="52"/>
      <c r="P81" s="52"/>
      <c r="Q81" s="42" t="str">
        <f aca="false">IF(AND(O81="",P81=""),"",N(O81)+N(P81))</f>
        <v/>
      </c>
      <c r="R81" s="42" t="str">
        <f aca="false">IF(OR(M81="",Q81=""),"",M81-Q81)</f>
        <v/>
      </c>
      <c r="S81" s="45" t="str">
        <f aca="false">IF(OR(R81="",N(M81)=0),"",R81/M81)</f>
        <v/>
      </c>
    </row>
    <row r="82" customFormat="false" ht="15" hidden="false" customHeight="false" outlineLevel="0" collapsed="false">
      <c r="A82" s="54"/>
      <c r="B82" s="54"/>
      <c r="C82" s="54"/>
      <c r="D82" s="54"/>
      <c r="E82" s="54"/>
      <c r="F82" s="55"/>
      <c r="G82" s="54"/>
      <c r="H82" s="56"/>
      <c r="I82" s="42" t="n">
        <f aca="false">IF(H82&lt;&gt;"",H82,IF(E82&lt;&gt;"",IFERROR(VLOOKUP(E82,Assumptions!$E$5:$F$12,2,FALSE()),0),0))</f>
        <v>0</v>
      </c>
      <c r="J82" s="42" t="str">
        <f aca="false">IF(F82="","",F82*I82)</f>
        <v/>
      </c>
      <c r="K82" s="57"/>
      <c r="L82" s="42" t="str">
        <f aca="false">IF(J82="","",J82*IF(K82="",Assumptions!$B$6,K82))</f>
        <v/>
      </c>
      <c r="M82" s="44" t="str">
        <f aca="false">IF(J82="","",J82+L82)</f>
        <v/>
      </c>
      <c r="N82" s="56"/>
      <c r="O82" s="56"/>
      <c r="P82" s="56"/>
      <c r="Q82" s="42" t="str">
        <f aca="false">IF(AND(O82="",P82=""),"",N(O82)+N(P82))</f>
        <v/>
      </c>
      <c r="R82" s="42" t="str">
        <f aca="false">IF(OR(M82="",Q82=""),"",M82-Q82)</f>
        <v/>
      </c>
      <c r="S82" s="45" t="str">
        <f aca="false">IF(OR(R82="",N(M82)=0),"",R82/M82)</f>
        <v/>
      </c>
    </row>
    <row r="83" customFormat="false" ht="15" hidden="false" customHeight="false" outlineLevel="0" collapsed="false">
      <c r="A83" s="50"/>
      <c r="B83" s="50"/>
      <c r="C83" s="50"/>
      <c r="D83" s="50"/>
      <c r="E83" s="50"/>
      <c r="F83" s="51"/>
      <c r="G83" s="50"/>
      <c r="H83" s="52"/>
      <c r="I83" s="42" t="n">
        <f aca="false">IF(H83&lt;&gt;"",H83,IF(E83&lt;&gt;"",IFERROR(VLOOKUP(E83,Assumptions!$E$5:$F$12,2,FALSE()),0),0))</f>
        <v>0</v>
      </c>
      <c r="J83" s="42" t="str">
        <f aca="false">IF(F83="","",F83*I83)</f>
        <v/>
      </c>
      <c r="K83" s="53"/>
      <c r="L83" s="42" t="str">
        <f aca="false">IF(J83="","",J83*IF(K83="",Assumptions!$B$6,K83))</f>
        <v/>
      </c>
      <c r="M83" s="44" t="str">
        <f aca="false">IF(J83="","",J83+L83)</f>
        <v/>
      </c>
      <c r="N83" s="52"/>
      <c r="O83" s="52"/>
      <c r="P83" s="52"/>
      <c r="Q83" s="42" t="str">
        <f aca="false">IF(AND(O83="",P83=""),"",N(O83)+N(P83))</f>
        <v/>
      </c>
      <c r="R83" s="42" t="str">
        <f aca="false">IF(OR(M83="",Q83=""),"",M83-Q83)</f>
        <v/>
      </c>
      <c r="S83" s="45" t="str">
        <f aca="false">IF(OR(R83="",N(M83)=0),"",R83/M83)</f>
        <v/>
      </c>
    </row>
    <row r="84" customFormat="false" ht="15" hidden="false" customHeight="false" outlineLevel="0" collapsed="false">
      <c r="A84" s="54"/>
      <c r="B84" s="54"/>
      <c r="C84" s="54"/>
      <c r="D84" s="54"/>
      <c r="E84" s="54"/>
      <c r="F84" s="55"/>
      <c r="G84" s="54"/>
      <c r="H84" s="56"/>
      <c r="I84" s="42" t="n">
        <f aca="false">IF(H84&lt;&gt;"",H84,IF(E84&lt;&gt;"",IFERROR(VLOOKUP(E84,Assumptions!$E$5:$F$12,2,FALSE()),0),0))</f>
        <v>0</v>
      </c>
      <c r="J84" s="42" t="str">
        <f aca="false">IF(F84="","",F84*I84)</f>
        <v/>
      </c>
      <c r="K84" s="57"/>
      <c r="L84" s="42" t="str">
        <f aca="false">IF(J84="","",J84*IF(K84="",Assumptions!$B$6,K84))</f>
        <v/>
      </c>
      <c r="M84" s="44" t="str">
        <f aca="false">IF(J84="","",J84+L84)</f>
        <v/>
      </c>
      <c r="N84" s="56"/>
      <c r="O84" s="56"/>
      <c r="P84" s="56"/>
      <c r="Q84" s="42" t="str">
        <f aca="false">IF(AND(O84="",P84=""),"",N(O84)+N(P84))</f>
        <v/>
      </c>
      <c r="R84" s="42" t="str">
        <f aca="false">IF(OR(M84="",Q84=""),"",M84-Q84)</f>
        <v/>
      </c>
      <c r="S84" s="45" t="str">
        <f aca="false">IF(OR(R84="",N(M84)=0),"",R84/M84)</f>
        <v/>
      </c>
    </row>
    <row r="85" customFormat="false" ht="15" hidden="false" customHeight="false" outlineLevel="0" collapsed="false">
      <c r="C85" s="9" t="s">
        <v>163</v>
      </c>
      <c r="J85" s="58" t="n">
        <f aca="false">SUM(J5:J84)</f>
        <v>55600</v>
      </c>
      <c r="L85" s="58" t="n">
        <f aca="false">SUM(L5:L84)</f>
        <v>5560</v>
      </c>
      <c r="M85" s="58" t="n">
        <f aca="false">SUM(M5:M84)</f>
        <v>61160</v>
      </c>
      <c r="N85" s="58" t="n">
        <f aca="false">SUM(N5:N84)</f>
        <v>0</v>
      </c>
      <c r="O85" s="58" t="n">
        <f aca="false">SUM(O5:O84)</f>
        <v>0</v>
      </c>
      <c r="P85" s="58" t="n">
        <f aca="false">SUM(P5:P84)</f>
        <v>0</v>
      </c>
      <c r="Q85" s="58" t="n">
        <f aca="false">SUM(Q5:Q84)</f>
        <v>0</v>
      </c>
      <c r="R85" s="58" t="n">
        <f aca="false">SUM(R5:R84)</f>
        <v>0</v>
      </c>
    </row>
  </sheetData>
  <autoFilter ref="A4:S84"/>
  <mergeCells count="2">
    <mergeCell ref="A1:S1"/>
    <mergeCell ref="A2:S2"/>
  </mergeCells>
  <conditionalFormatting sqref="S5:S84">
    <cfRule type="expression" priority="2" aboveAverage="0" equalAverage="0" bottom="0" percent="0" rank="0" text="" dxfId="2">
      <formula>AND(ISNUMBER(S5),S5&lt;-0.1)</formula>
    </cfRule>
    <cfRule type="expression" priority="3" aboveAverage="0" equalAverage="0" bottom="0" percent="0" rank="0" text="" dxfId="11">
      <formula>AND(ISNUMBER(S5),S5&lt;-0.05)</formula>
    </cfRule>
  </conditionalFormatting>
  <dataValidations count="3">
    <dataValidation allowBlank="true" error="Please select a value from the list (toolkit controlled vocabulary)." errorStyle="stop" errorTitle="Invalid entry" operator="between" showDropDown="false" showErrorMessage="true" showInputMessage="false" sqref="D5:D84" type="list">
      <formula1>Lists!$A$2:$A$10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E5:E84" type="list">
      <formula1>Lists!$B$2:$B$9</formula1>
      <formula2>0</formula2>
    </dataValidation>
    <dataValidation allowBlank="true" error="Enter a value between 0 and 1." errorStyle="stop" operator="between" showDropDown="false" showErrorMessage="true" showInputMessage="false" sqref="K5:K8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9" t="s">
        <v>164</v>
      </c>
      <c r="B1" s="59" t="s">
        <v>165</v>
      </c>
    </row>
    <row r="2" customFormat="false" ht="15" hidden="false" customHeight="false" outlineLevel="0" collapsed="false">
      <c r="A2" s="0" t="s">
        <v>73</v>
      </c>
      <c r="B2" s="0" t="s">
        <v>117</v>
      </c>
    </row>
    <row r="3" customFormat="false" ht="15" hidden="false" customHeight="false" outlineLevel="0" collapsed="false">
      <c r="A3" s="0" t="s">
        <v>74</v>
      </c>
      <c r="B3" s="0" t="s">
        <v>119</v>
      </c>
    </row>
    <row r="4" customFormat="false" ht="15" hidden="false" customHeight="false" outlineLevel="0" collapsed="false">
      <c r="A4" s="0" t="s">
        <v>75</v>
      </c>
      <c r="B4" s="0" t="s">
        <v>121</v>
      </c>
    </row>
    <row r="5" customFormat="false" ht="15" hidden="false" customHeight="false" outlineLevel="0" collapsed="false">
      <c r="A5" s="0" t="s">
        <v>76</v>
      </c>
      <c r="B5" s="0" t="s">
        <v>123</v>
      </c>
    </row>
    <row r="6" customFormat="false" ht="15" hidden="false" customHeight="false" outlineLevel="0" collapsed="false">
      <c r="A6" s="0" t="s">
        <v>77</v>
      </c>
      <c r="B6" s="0" t="s">
        <v>126</v>
      </c>
    </row>
    <row r="7" customFormat="false" ht="15" hidden="false" customHeight="false" outlineLevel="0" collapsed="false">
      <c r="A7" s="0" t="s">
        <v>78</v>
      </c>
      <c r="B7" s="0" t="s">
        <v>127</v>
      </c>
    </row>
    <row r="8" customFormat="false" ht="15" hidden="false" customHeight="false" outlineLevel="0" collapsed="false">
      <c r="A8" s="0" t="s">
        <v>79</v>
      </c>
      <c r="B8" s="0" t="s">
        <v>128</v>
      </c>
    </row>
    <row r="9" customFormat="false" ht="15" hidden="false" customHeight="false" outlineLevel="0" collapsed="false">
      <c r="A9" s="0" t="s">
        <v>80</v>
      </c>
      <c r="B9" s="0" t="s">
        <v>129</v>
      </c>
    </row>
    <row r="10" customFormat="false" ht="15" hidden="false" customHeight="false" outlineLevel="0" collapsed="false">
      <c r="A10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2026-10-28T04:09:00Z</dcterms:created>
  <dc:creator>[Project Manager]</dc:creator>
  <dc:description/>
  <cp:keywords>PRJ-2026-001-BUD PMBOK 8</cp:keywords>
  <dc:language>en-US</dc:language>
  <cp:lastModifiedBy/>
  <dcterms:modified xsi:type="dcterms:W3CDTF">2026-10-27T22:09:08Z</dcterms:modified>
  <cp:revision>1</cp:revision>
  <dc:subject>[Project Name]</dc:subject>
  <dc:title>09 - Project Budget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