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Lessons Learned" sheetId="3" state="visible" r:id="rId5"/>
    <sheet name="Lists" sheetId="4" state="hidden" r:id="rId6"/>
  </sheets>
  <definedNames>
    <definedName function="false" hidden="false" localSheetId="2" name="_xlnm.Print_Titles" vbProcedure="false">'Lessons Learned'!$4:$4</definedName>
    <definedName function="false" hidden="true" localSheetId="2" name="_xlnm._FilterDatabase" vbProcedure="false">'Lessons Learned'!$A$4:$N$64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<sst xmlns="http://schemas.openxmlformats.org/spreadsheetml/2006/main" count="139" uniqueCount="114">
  <si>
    <t xml:space="preserve">[ORGANIZATION NAME]</t>
  </si>
  <si>
    <t xml:space="preserve">24 — Lessons Learned Register</t>
  </si>
  <si>
    <t xml:space="preserve">[Project Name]</t>
  </si>
  <si>
    <t xml:space="preserve">DOCUMENT CONTROL</t>
  </si>
  <si>
    <t xml:space="preserve">PMBOK® 8 ALIGNMENT</t>
  </si>
  <si>
    <t xml:space="preserve">Project name</t>
  </si>
  <si>
    <t xml:space="preserve">Performance domain(s)</t>
  </si>
  <si>
    <t xml:space="preserve">Governance</t>
  </si>
  <si>
    <t xml:space="preserve">Project ID</t>
  </si>
  <si>
    <t xml:space="preserve">PRJ-2026-001</t>
  </si>
  <si>
    <t xml:space="preserve">Focus area(s)</t>
  </si>
  <si>
    <t xml:space="preserve">Executing, Closing</t>
  </si>
  <si>
    <t xml:space="preserve">Document ID</t>
  </si>
  <si>
    <t xml:space="preserve">PRJ-2026-001-LLR</t>
  </si>
  <si>
    <t xml:space="preserve">Toolkit</t>
  </si>
  <si>
    <t xml:space="preserve">PMI Predictive Project Management Toolkit</t>
  </si>
  <si>
    <t xml:space="preserve">Document title</t>
  </si>
  <si>
    <t xml:space="preserve">Lessons Learned Register</t>
  </si>
  <si>
    <t xml:space="preserve">Standard</t>
  </si>
  <si>
    <t xml:space="preserve">Aligned to the PMBOK® Guide – Eighth Edition</t>
  </si>
  <si>
    <t xml:space="preserve">Version</t>
  </si>
  <si>
    <t xml:space="preserve">0.1</t>
  </si>
  <si>
    <t xml:space="preserve">Status</t>
  </si>
  <si>
    <t xml:space="preserve">Draft</t>
  </si>
  <si>
    <t xml:space="preserve">Date</t>
  </si>
  <si>
    <t xml:space="preserve">2026-10-27</t>
  </si>
  <si>
    <t xml:space="preserve">Project Sponsor</t>
  </si>
  <si>
    <t xml:space="preserve">[Project Sponsor]</t>
  </si>
  <si>
    <t xml:space="preserve">Project Manager / Owner</t>
  </si>
  <si>
    <t xml:space="preserve">[Project Manager]</t>
  </si>
  <si>
    <t xml:space="preserve">Approver</t>
  </si>
  <si>
    <t xml:space="preserve">Project Manager</t>
  </si>
  <si>
    <t xml:space="preserve">Classification</t>
  </si>
  <si>
    <t xml:space="preserve">Internal</t>
  </si>
  <si>
    <t xml:space="preserve">Currency</t>
  </si>
  <si>
    <t xml:space="preserve">CAD</t>
  </si>
  <si>
    <t xml:space="preserve">File location</t>
  </si>
  <si>
    <t xml:space="preserve">[SharePoint / repository path]</t>
  </si>
  <si>
    <t xml:space="preserve">REVISION HISTORY</t>
  </si>
  <si>
    <t xml:space="preserve">Author</t>
  </si>
  <si>
    <t xml:space="preserve">Description of change</t>
  </si>
  <si>
    <t xml:space="preserve">CR ref.</t>
  </si>
  <si>
    <t xml:space="preserve">Approved by</t>
  </si>
  <si>
    <t xml:space="preserve">Initial draft created from toolkit template</t>
  </si>
  <si>
    <t xml:space="preserve">N/A</t>
  </si>
  <si>
    <t xml:space="preserve">VERSIONING SCHEME</t>
  </si>
  <si>
    <t xml:space="preserve">0.1 - 0.9</t>
  </si>
  <si>
    <t xml:space="preserve">Work in progress. Increment the minor digit for each review cycle (0.1, 0.2 ...).</t>
  </si>
  <si>
    <t xml:space="preserve">1.0</t>
  </si>
  <si>
    <t xml:space="preserve">Approved / Baselined</t>
  </si>
  <si>
    <t xml:space="preserve">First version formally approved by the designated approver. Becomes the baseline.</t>
  </si>
  <si>
    <t xml:space="preserve">1.1, 1.2 ...</t>
  </si>
  <si>
    <t xml:space="preserve">Minor revision</t>
  </si>
  <si>
    <t xml:space="preserve">Editorial or clarifying change with NO impact on scope, schedule or cost baselines. PM approval.</t>
  </si>
  <si>
    <t xml:space="preserve">2.0, 3.0 ...</t>
  </si>
  <si>
    <t xml:space="preserve">Major revision</t>
  </si>
  <si>
    <t xml:space="preserve">Change that alters a baseline. Requires an approved Change Request (doc 20) logged in the Change Log (doc 21).</t>
  </si>
  <si>
    <t xml:space="preserve">HOW TO USE THIS WORKBOOK</t>
  </si>
  <si>
    <t xml:space="preserve">1. Capture lessons continuously (not only at closure) — both what worked well and what should be improved.</t>
  </si>
  <si>
    <t xml:space="preserve">2. Tag each lesson by focus area and PMBOK 8 performance domain so it can be reused by future projects and the PMO.</t>
  </si>
  <si>
    <t xml:space="preserve">3. The Summary sheet aggregates lessons by domain; top lessons feed the Project Closure Report (doc 25).</t>
  </si>
  <si>
    <t xml:space="preserve">4. Navy column headers = input columns (shaded rows are for data entry). Teal headers marked ƒ = calculated columns — do not overwrite.</t>
  </si>
  <si>
    <t xml:space="preserve">5. Drop-down lists enforce the toolkit's controlled vocabulary. Rows shown in grey italics are examples — overwrite or delete them.</t>
  </si>
  <si>
    <t xml:space="preserve">6. Update the Version/Status/Date above and add a Revision History row each time the workbook is re-issued.</t>
  </si>
  <si>
    <t xml:space="preserve">24 — Lessons Learned Register  |  Lessons by Performance Domain</t>
  </si>
  <si>
    <t xml:space="preserve">[Project Name]   •   PRJ-2026-001-LLR   •   v0.1 Draft   •   Internal</t>
  </si>
  <si>
    <t xml:space="preserve">Performance domain</t>
  </si>
  <si>
    <t xml:space="preserve">Went well</t>
  </si>
  <si>
    <t xml:space="preserve">To improve</t>
  </si>
  <si>
    <t xml:space="preserve">Total</t>
  </si>
  <si>
    <t xml:space="preserve">Scope</t>
  </si>
  <si>
    <t xml:space="preserve">Schedule</t>
  </si>
  <si>
    <t xml:space="preserve">Finance</t>
  </si>
  <si>
    <t xml:space="preserve">Stakeholders</t>
  </si>
  <si>
    <t xml:space="preserve">Resources</t>
  </si>
  <si>
    <t xml:space="preserve">Risk</t>
  </si>
  <si>
    <t xml:space="preserve">24 — Lessons Learned Register  |  Lessons Learned</t>
  </si>
  <si>
    <t xml:space="preserve">LL ID</t>
  </si>
  <si>
    <t xml:space="preserve">Focus area / phase</t>
  </si>
  <si>
    <t xml:space="preserve">Type</t>
  </si>
  <si>
    <t xml:space="preserve">Situation / what happened</t>
  </si>
  <si>
    <t xml:space="preserve">Impact on project</t>
  </si>
  <si>
    <t xml:space="preserve">Root cause</t>
  </si>
  <si>
    <t xml:space="preserve">Recommendation for future projects</t>
  </si>
  <si>
    <t xml:space="preserve">Action owner</t>
  </si>
  <si>
    <t xml:space="preserve">Action status</t>
  </si>
  <si>
    <t xml:space="preserve">Applicability</t>
  </si>
  <si>
    <t xml:space="preserve">Submitted by</t>
  </si>
  <si>
    <t xml:space="preserve">Keywords</t>
  </si>
  <si>
    <t xml:space="preserve">LL-001</t>
  </si>
  <si>
    <t xml:space="preserve">Planning</t>
  </si>
  <si>
    <t xml:space="preserve">End-user group engaged only at UAT</t>
  </si>
  <si>
    <t xml:space="preserve">Late change requests; 2-week UAT extension</t>
  </si>
  <si>
    <t xml:space="preserve">Stakeholder analysis missed operational users</t>
  </si>
  <si>
    <t xml:space="preserve">Include end-user representatives from requirements phase; use power/interest grid at Gate 1</t>
  </si>
  <si>
    <t xml:space="preserve">[PM]</t>
  </si>
  <si>
    <t xml:space="preserve">Proposed</t>
  </si>
  <si>
    <t xml:space="preserve">Organization (PMO)</t>
  </si>
  <si>
    <t xml:space="preserve">[Name]</t>
  </si>
  <si>
    <t xml:space="preserve">engagement, UAT</t>
  </si>
  <si>
    <t xml:space="preserve">Focus</t>
  </si>
  <si>
    <t xml:space="preserve">Domain</t>
  </si>
  <si>
    <t xml:space="preserve">LLType</t>
  </si>
  <si>
    <t xml:space="preserve">LLAct</t>
  </si>
  <si>
    <t xml:space="preserve">Appl</t>
  </si>
  <si>
    <t xml:space="preserve">Initiating</t>
  </si>
  <si>
    <t xml:space="preserve">This project</t>
  </si>
  <si>
    <t xml:space="preserve">In progress</t>
  </si>
  <si>
    <t xml:space="preserve">Program</t>
  </si>
  <si>
    <t xml:space="preserve">Executing</t>
  </si>
  <si>
    <t xml:space="preserve">Implemented</t>
  </si>
  <si>
    <t xml:space="preserve">Monitoring &amp; Controlling</t>
  </si>
  <si>
    <t xml:space="preserve">Not actioned</t>
  </si>
  <si>
    <t xml:space="preserve">Closing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</si>
</sst>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9FD3D1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3807E"/>
      <name val="Calibri"/>
      <family val="0"/>
      <charset val="1"/>
    </font>
    <font>
      <b val="true"/>
      <sz val="10"/>
      <color rgb="FF1F3A5F"/>
      <name val="Calibri"/>
      <family val="0"/>
      <charset val="1"/>
    </font>
    <font>
      <sz val="10"/>
      <color rgb="FF6B7785"/>
      <name val="Calibri"/>
      <family val="0"/>
      <charset val="1"/>
    </font>
    <font>
      <sz val="9"/>
      <color rgb="FF1E2A36"/>
      <name val="Calibri"/>
      <family val="0"/>
      <charset val="1"/>
    </font>
    <font>
      <sz val="10"/>
      <color rgb="FF1E2A3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1E2A36"/>
      <name val="Calibri"/>
      <family val="0"/>
      <charset val="1"/>
    </font>
    <font>
      <sz val="9"/>
      <color rgb="FF6B7785"/>
      <name val="Calibri"/>
      <family val="0"/>
      <charset val="1"/>
    </font>
    <font>
      <sz val="9.5"/>
      <color rgb="FF1E2A36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9"/>
      <color rgb="FFDCE8F2"/>
      <name val="Calibri"/>
      <family val="0"/>
      <charset val="1"/>
    </font>
    <font>
      <b val="true"/>
      <sz val="10"/>
      <color rgb="FF1E2A36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.5"/>
      <color rgb="FFFFFFFF"/>
      <name val="Calibri"/>
      <family val="0"/>
      <charset val="1"/>
    </font>
    <font>
      <i val="true"/>
      <sz val="9.5"/>
      <color rgb="FF6B778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1E2A36"/>
      </patternFill>
    </fill>
    <fill>
      <patternFill patternType="solid">
        <fgColor rgb="FFDCE8F2"/>
        <bgColor rgb="FFD5EFDF"/>
      </patternFill>
    </fill>
    <fill>
      <patternFill patternType="solid">
        <fgColor rgb="FFF3F6F9"/>
        <bgColor rgb="FFF9F9F9"/>
      </patternFill>
    </fill>
    <fill>
      <patternFill patternType="solid">
        <fgColor rgb="FFEAF2F2"/>
        <bgColor rgb="FFF3F6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F3F6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E2A36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FC7"/>
          <bgColor rgb="FF000000"/>
        </patternFill>
      </fill>
    </dxf>
    <dxf>
      <fill>
        <patternFill patternType="solid">
          <fgColor rgb="FF8A6200"/>
          <bgColor rgb="FF000000"/>
        </patternFill>
      </fill>
    </dxf>
    <dxf>
      <font>
        <name val="Calibri"/>
        <charset val="1"/>
        <family val="0"/>
        <b val="1"/>
        <color rgb="FF2E8B57"/>
      </font>
      <fill>
        <patternFill>
          <bgColor rgb="FFD5EFDF"/>
        </patternFill>
      </fill>
    </dxf>
    <dxf>
      <font>
        <name val="Calibri"/>
        <charset val="1"/>
        <family val="0"/>
        <b val="1"/>
        <color rgb="FF8A6200"/>
      </font>
      <fill>
        <patternFill>
          <bgColor rgb="FFFCEF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200"/>
      <rgbColor rgb="FF800080"/>
      <rgbColor rgb="FF13807E"/>
      <rgbColor rgb="FFB8C4D0"/>
      <rgbColor rgb="FF878787"/>
      <rgbColor rgb="FF9999FF"/>
      <rgbColor rgb="FFC0504D"/>
      <rgbColor rgb="FFFCEFC7"/>
      <rgbColor rgb="FFEA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2"/>
      <rgbColor rgb="FFD5EFDF"/>
      <rgbColor rgb="FFF9F9F9"/>
      <rgbColor rgb="FF9FD3D1"/>
      <rgbColor rgb="FFFF99CC"/>
      <rgbColor rgb="FFCC99FF"/>
      <rgbColor rgb="FFF3F6F9"/>
      <rgbColor rgb="FF4F81BD"/>
      <rgbColor rgb="FF33CCCC"/>
      <rgbColor rgb="FF99CC00"/>
      <rgbColor rgb="FFFFCC00"/>
      <rgbColor rgb="FFFF9900"/>
      <rgbColor rgb="FFFF6600"/>
      <rgbColor rgb="FF6B7785"/>
      <rgbColor rgb="FF969696"/>
      <rgbColor rgb="FF1F3A5F"/>
      <rgbColor rgb="FF2E8B57"/>
      <rgbColor rgb="FF003300"/>
      <rgbColor rgb="FF333300"/>
      <rgbColor rgb="FF993300"/>
      <rgbColor rgb="FF993366"/>
      <rgbColor rgb="FF333399"/>
      <rgbColor rgb="FF1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Lessons by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Went well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Summary!$B$5:$B$11</c:f>
              <c:strCache>
                <c:ptCount val="7"/>
                <c:pt idx="0">
                  <c:v>Governance</c:v>
                </c:pt>
                <c:pt idx="1">
                  <c:v>Scope</c:v>
                </c:pt>
                <c:pt idx="2">
                  <c:v>Schedule</c:v>
                </c:pt>
                <c:pt idx="3">
                  <c:v>Finance</c:v>
                </c:pt>
                <c:pt idx="4">
                  <c:v>Stakeholders</c:v>
                </c:pt>
                <c:pt idx="5">
                  <c:v>Resources</c:v>
                </c:pt>
                <c:pt idx="6">
                  <c:v>Risk</c:v>
                </c:pt>
              </c:strCache>
            </c:strRef>
          </c:cat>
          <c:val>
            <c:numRef>
              <c:f>Summary!$C$5:$C$11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Summary!D4</c:f>
              <c:strCache>
                <c:ptCount val="1"/>
                <c:pt idx="0">
                  <c:v>To improve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Summary!$B$5:$B$11</c:f>
              <c:strCache>
                <c:ptCount val="7"/>
                <c:pt idx="0">
                  <c:v>Governance</c:v>
                </c:pt>
                <c:pt idx="1">
                  <c:v>Scope</c:v>
                </c:pt>
                <c:pt idx="2">
                  <c:v>Schedule</c:v>
                </c:pt>
                <c:pt idx="3">
                  <c:v>Finance</c:v>
                </c:pt>
                <c:pt idx="4">
                  <c:v>Stakeholders</c:v>
                </c:pt>
                <c:pt idx="5">
                  <c:v>Resources</c:v>
                </c:pt>
                <c:pt idx="6">
                  <c:v>Risk</c:v>
                </c:pt>
              </c:strCache>
            </c:strRef>
          </c:cat>
          <c:val>
            <c:numRef>
              <c:f>Summary!$D$5:$D$11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150"/>
        <c:overlap val="100"/>
        <c:axId val="32985478"/>
        <c:axId val="5876677"/>
      </c:barChart>
      <c:catAx>
        <c:axId val="329854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76677"/>
        <c:crosses val="autoZero"/>
        <c:auto val="1"/>
        <c:lblAlgn val="ctr"/>
        <c:lblOffset val="100"/>
        <c:noMultiLvlLbl val="0"/>
      </c:catAx>
      <c:valAx>
        <c:axId val="58766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9854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14</xdr:col>
      <xdr:colOff>147600</xdr:colOff>
      <xdr:row>17</xdr:row>
      <xdr:rowOff>32760</xdr:rowOff>
    </xdr:to>
    <xdr:graphicFrame>
      <xdr:nvGraphicFramePr>
        <xdr:cNvPr id="0" name="Chart 1"/>
        <xdr:cNvGraphicFramePr/>
      </xdr:nvGraphicFramePr>
      <xdr:xfrm>
        <a:off x="4770000" y="60012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true"/>
  </sheetPr>
  <dimension ref="B2:G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8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8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31.5" hidden="false" customHeight="true" outlineLevel="0" collapsed="false">
      <c r="B3" s="2" t="s">
        <v>1</v>
      </c>
      <c r="C3" s="2"/>
      <c r="D3" s="2"/>
      <c r="E3" s="2"/>
      <c r="F3" s="2"/>
      <c r="G3" s="2"/>
    </row>
    <row r="4" customFormat="false" ht="19.5" hidden="false" customHeight="true" outlineLevel="0" collapsed="false">
      <c r="B4" s="3" t="s">
        <v>2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3</v>
      </c>
      <c r="E6" s="4" t="s">
        <v>4</v>
      </c>
    </row>
    <row r="7" customFormat="false" ht="27.75" hidden="false" customHeight="true" outlineLevel="0" collapsed="false">
      <c r="B7" s="5" t="s">
        <v>5</v>
      </c>
      <c r="C7" s="6" t="s">
        <v>2</v>
      </c>
      <c r="D7" s="6"/>
      <c r="E7" s="5" t="s">
        <v>6</v>
      </c>
      <c r="F7" s="7" t="s">
        <v>7</v>
      </c>
      <c r="G7" s="7"/>
    </row>
    <row r="8" customFormat="false" ht="27.75" hidden="false" customHeight="true" outlineLevel="0" collapsed="false">
      <c r="B8" s="5" t="s">
        <v>8</v>
      </c>
      <c r="C8" s="8" t="s">
        <v>9</v>
      </c>
      <c r="D8" s="8"/>
      <c r="E8" s="5" t="s">
        <v>10</v>
      </c>
      <c r="F8" s="7" t="s">
        <v>11</v>
      </c>
      <c r="G8" s="7"/>
    </row>
    <row r="9" customFormat="false" ht="27.75" hidden="false" customHeight="true" outlineLevel="0" collapsed="false">
      <c r="B9" s="5" t="s">
        <v>12</v>
      </c>
      <c r="C9" s="8" t="s">
        <v>13</v>
      </c>
      <c r="D9" s="8"/>
      <c r="E9" s="5" t="s">
        <v>14</v>
      </c>
      <c r="F9" s="7" t="s">
        <v>15</v>
      </c>
      <c r="G9" s="7"/>
    </row>
    <row r="10" customFormat="false" ht="27.75" hidden="false" customHeight="true" outlineLevel="0" collapsed="false">
      <c r="B10" s="5" t="s">
        <v>16</v>
      </c>
      <c r="C10" s="8" t="s">
        <v>17</v>
      </c>
      <c r="D10" s="8"/>
      <c r="E10" s="5" t="s">
        <v>18</v>
      </c>
      <c r="F10" s="7" t="s">
        <v>19</v>
      </c>
      <c r="G10" s="7"/>
    </row>
    <row r="11" customFormat="false" ht="15" hidden="false" customHeight="false" outlineLevel="0" collapsed="false">
      <c r="B11" s="5" t="s">
        <v>20</v>
      </c>
      <c r="C11" s="8" t="s">
        <v>21</v>
      </c>
      <c r="D11" s="8"/>
    </row>
    <row r="12" customFormat="false" ht="15" hidden="false" customHeight="false" outlineLevel="0" collapsed="false">
      <c r="B12" s="5" t="s">
        <v>22</v>
      </c>
      <c r="C12" s="8" t="s">
        <v>23</v>
      </c>
      <c r="D12" s="8"/>
    </row>
    <row r="13" customFormat="false" ht="15" hidden="false" customHeight="false" outlineLevel="0" collapsed="false">
      <c r="B13" s="5" t="s">
        <v>24</v>
      </c>
      <c r="C13" s="8" t="s">
        <v>25</v>
      </c>
      <c r="D13" s="8"/>
    </row>
    <row r="14" customFormat="false" ht="15" hidden="false" customHeight="false" outlineLevel="0" collapsed="false">
      <c r="B14" s="5" t="s">
        <v>26</v>
      </c>
      <c r="C14" s="6" t="s">
        <v>27</v>
      </c>
      <c r="D14" s="6"/>
    </row>
    <row r="15" customFormat="false" ht="15" hidden="false" customHeight="false" outlineLevel="0" collapsed="false">
      <c r="B15" s="5" t="s">
        <v>28</v>
      </c>
      <c r="C15" s="6" t="s">
        <v>29</v>
      </c>
      <c r="D15" s="6"/>
    </row>
    <row r="16" customFormat="false" ht="15" hidden="false" customHeight="false" outlineLevel="0" collapsed="false">
      <c r="B16" s="5" t="s">
        <v>30</v>
      </c>
      <c r="C16" s="8" t="s">
        <v>31</v>
      </c>
      <c r="D16" s="8"/>
    </row>
    <row r="17" customFormat="false" ht="15" hidden="false" customHeight="false" outlineLevel="0" collapsed="false">
      <c r="B17" s="5" t="s">
        <v>32</v>
      </c>
      <c r="C17" s="8" t="s">
        <v>33</v>
      </c>
      <c r="D17" s="8"/>
    </row>
    <row r="18" customFormat="false" ht="15" hidden="false" customHeight="false" outlineLevel="0" collapsed="false">
      <c r="B18" s="5" t="s">
        <v>34</v>
      </c>
      <c r="C18" s="8" t="s">
        <v>35</v>
      </c>
      <c r="D18" s="8"/>
    </row>
    <row r="19" customFormat="false" ht="15" hidden="false" customHeight="false" outlineLevel="0" collapsed="false">
      <c r="B19" s="5" t="s">
        <v>36</v>
      </c>
      <c r="C19" s="6" t="s">
        <v>37</v>
      </c>
      <c r="D19" s="6"/>
    </row>
    <row r="22" customFormat="false" ht="15" hidden="false" customHeight="false" outlineLevel="0" collapsed="false">
      <c r="B22" s="4" t="s">
        <v>38</v>
      </c>
    </row>
    <row r="23" customFormat="false" ht="15" hidden="false" customHeight="false" outlineLevel="0" collapsed="false">
      <c r="B23" s="9" t="s">
        <v>20</v>
      </c>
      <c r="C23" s="9" t="s">
        <v>24</v>
      </c>
      <c r="D23" s="9" t="s">
        <v>39</v>
      </c>
      <c r="E23" s="9" t="s">
        <v>40</v>
      </c>
      <c r="F23" s="9" t="s">
        <v>41</v>
      </c>
      <c r="G23" s="9" t="s">
        <v>42</v>
      </c>
    </row>
    <row r="24" customFormat="false" ht="15" hidden="false" customHeight="false" outlineLevel="0" collapsed="false">
      <c r="B24" s="10" t="s">
        <v>21</v>
      </c>
      <c r="C24" s="10" t="s">
        <v>25</v>
      </c>
      <c r="D24" s="10" t="s">
        <v>29</v>
      </c>
      <c r="E24" s="10" t="s">
        <v>43</v>
      </c>
      <c r="F24" s="10" t="s">
        <v>44</v>
      </c>
      <c r="G24" s="10"/>
    </row>
    <row r="25" customFormat="false" ht="15" hidden="false" customHeight="false" outlineLevel="0" collapsed="false"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B26" s="10"/>
      <c r="C26" s="10"/>
      <c r="D26" s="10"/>
      <c r="E26" s="10"/>
      <c r="F26" s="10"/>
      <c r="G26" s="10"/>
    </row>
    <row r="27" customFormat="false" ht="15" hidden="false" customHeight="false" outlineLevel="0" collapsed="false"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B28" s="10"/>
      <c r="C28" s="10"/>
      <c r="D28" s="10"/>
      <c r="E28" s="10"/>
      <c r="F28" s="10"/>
      <c r="G28" s="10"/>
    </row>
    <row r="30" customFormat="false" ht="15" hidden="false" customHeight="false" outlineLevel="0" collapsed="false">
      <c r="B30" s="4" t="s">
        <v>45</v>
      </c>
    </row>
    <row r="31" customFormat="false" ht="25.5" hidden="false" customHeight="true" outlineLevel="0" collapsed="false">
      <c r="B31" s="12" t="s">
        <v>46</v>
      </c>
      <c r="C31" s="13" t="s">
        <v>23</v>
      </c>
      <c r="D31" s="14" t="s">
        <v>47</v>
      </c>
      <c r="E31" s="14"/>
      <c r="F31" s="14"/>
      <c r="G31" s="14"/>
    </row>
    <row r="32" customFormat="false" ht="25.5" hidden="false" customHeight="true" outlineLevel="0" collapsed="false">
      <c r="B32" s="12" t="s">
        <v>48</v>
      </c>
      <c r="C32" s="13" t="s">
        <v>49</v>
      </c>
      <c r="D32" s="14" t="s">
        <v>50</v>
      </c>
      <c r="E32" s="14"/>
      <c r="F32" s="14"/>
      <c r="G32" s="14"/>
    </row>
    <row r="33" customFormat="false" ht="25.5" hidden="false" customHeight="true" outlineLevel="0" collapsed="false">
      <c r="B33" s="12" t="s">
        <v>51</v>
      </c>
      <c r="C33" s="13" t="s">
        <v>52</v>
      </c>
      <c r="D33" s="14" t="s">
        <v>53</v>
      </c>
      <c r="E33" s="14"/>
      <c r="F33" s="14"/>
      <c r="G33" s="14"/>
    </row>
    <row r="34" customFormat="false" ht="25.5" hidden="false" customHeight="true" outlineLevel="0" collapsed="false">
      <c r="B34" s="12" t="s">
        <v>54</v>
      </c>
      <c r="C34" s="13" t="s">
        <v>55</v>
      </c>
      <c r="D34" s="14" t="s">
        <v>56</v>
      </c>
      <c r="E34" s="14"/>
      <c r="F34" s="14"/>
      <c r="G34" s="14"/>
    </row>
    <row r="36" customFormat="false" ht="15" hidden="false" customHeight="false" outlineLevel="0" collapsed="false">
      <c r="B36" s="4" t="s">
        <v>57</v>
      </c>
    </row>
    <row r="37" customFormat="false" ht="30" hidden="false" customHeight="true" outlineLevel="0" collapsed="false">
      <c r="B37" s="15" t="s">
        <v>58</v>
      </c>
      <c r="C37" s="15"/>
      <c r="D37" s="15"/>
      <c r="E37" s="15"/>
      <c r="F37" s="15"/>
      <c r="G37" s="15"/>
    </row>
    <row r="38" customFormat="false" ht="30" hidden="false" customHeight="true" outlineLevel="0" collapsed="false">
      <c r="B38" s="15" t="s">
        <v>59</v>
      </c>
      <c r="C38" s="15"/>
      <c r="D38" s="15"/>
      <c r="E38" s="15"/>
      <c r="F38" s="15"/>
      <c r="G38" s="15"/>
    </row>
    <row r="39" customFormat="false" ht="30" hidden="false" customHeight="true" outlineLevel="0" collapsed="false">
      <c r="B39" s="15" t="s">
        <v>60</v>
      </c>
      <c r="C39" s="15"/>
      <c r="D39" s="15"/>
      <c r="E39" s="15"/>
      <c r="F39" s="15"/>
      <c r="G39" s="15"/>
    </row>
    <row r="40" customFormat="false" ht="30" hidden="false" customHeight="true" outlineLevel="0" collapsed="false">
      <c r="B40" s="15" t="s">
        <v>61</v>
      </c>
      <c r="C40" s="15"/>
      <c r="D40" s="15"/>
      <c r="E40" s="15"/>
      <c r="F40" s="15"/>
      <c r="G40" s="15"/>
    </row>
    <row r="41" customFormat="false" ht="30" hidden="false" customHeight="true" outlineLevel="0" collapsed="false">
      <c r="B41" s="15" t="s">
        <v>62</v>
      </c>
      <c r="C41" s="15"/>
      <c r="D41" s="15"/>
      <c r="E41" s="15"/>
      <c r="F41" s="15"/>
      <c r="G41" s="15"/>
    </row>
    <row r="42" customFormat="false" ht="30" hidden="false" customHeight="true" outlineLevel="0" collapsed="false">
      <c r="B42" s="15" t="s">
        <v>63</v>
      </c>
      <c r="C42" s="15"/>
      <c r="D42" s="15"/>
      <c r="E42" s="15"/>
      <c r="F42" s="15"/>
      <c r="G42" s="15"/>
    </row>
  </sheetData>
  <mergeCells count="30">
    <mergeCell ref="B2:G2"/>
    <mergeCell ref="B3:G3"/>
    <mergeCell ref="B4:G4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D31:G31"/>
    <mergeCell ref="D32:G32"/>
    <mergeCell ref="D33:G33"/>
    <mergeCell ref="D34:G34"/>
    <mergeCell ref="B37:G37"/>
    <mergeCell ref="B38:G38"/>
    <mergeCell ref="B39:G39"/>
    <mergeCell ref="B40:G40"/>
    <mergeCell ref="B41:G41"/>
    <mergeCell ref="B42:G42"/>
  </mergeCells>
  <dataValidations count="2">
    <dataValidation allowBlank="true" errorStyle="stop" operator="between" showDropDown="false" showErrorMessage="false" showInputMessage="false" sqref="C12" type="list">
      <formula1>"Draft,In Review,Approved,Baselined,Superseded,Archived"</formula1>
      <formula2>0</formula2>
    </dataValidation>
    <dataValidation allowBlank="true" errorStyle="stop" operator="between" showDropDown="false" showErrorMessage="false" showInputMessage="false" sqref="C17" type="list">
      <formula1>"Public,Internal,Confidential,Restricted"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4" min="3" style="0" width="12"/>
    <col collapsed="false" customWidth="true" hidden="false" outlineLevel="0" max="5" min="5" style="0" width="10"/>
  </cols>
  <sheetData>
    <row r="1" customFormat="false" ht="25.5" hidden="false" customHeight="true" outlineLevel="0" collapsed="false">
      <c r="A1" s="16" t="s">
        <v>64</v>
      </c>
      <c r="B1" s="16"/>
      <c r="C1" s="16"/>
      <c r="D1" s="16"/>
      <c r="E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</row>
    <row r="3" customFormat="false" ht="6" hidden="false" customHeight="true" outlineLevel="0" collapsed="false"/>
    <row r="4" customFormat="false" ht="15" hidden="false" customHeight="false" outlineLevel="0" collapsed="false">
      <c r="B4" s="9" t="s">
        <v>66</v>
      </c>
      <c r="C4" s="9" t="s">
        <v>67</v>
      </c>
      <c r="D4" s="9" t="s">
        <v>68</v>
      </c>
      <c r="E4" s="9" t="s">
        <v>69</v>
      </c>
    </row>
    <row r="5" customFormat="false" ht="15" hidden="false" customHeight="false" outlineLevel="0" collapsed="false">
      <c r="B5" s="18" t="s">
        <v>7</v>
      </c>
      <c r="C5" s="19" t="n">
        <f aca="false">COUNTIFS('Lessons Learned'!$D$5:$D$64,$B5,'Lessons Learned'!$E$5:$E$64,"Went well")</f>
        <v>0</v>
      </c>
      <c r="D5" s="19" t="n">
        <f aca="false">COUNTIFS('Lessons Learned'!$D$5:$D$64,$B5,'Lessons Learned'!$E$5:$E$64,"To improve")</f>
        <v>0</v>
      </c>
      <c r="E5" s="20" t="n">
        <f aca="false">C5+D5</f>
        <v>0</v>
      </c>
    </row>
    <row r="6" customFormat="false" ht="15" hidden="false" customHeight="false" outlineLevel="0" collapsed="false">
      <c r="B6" s="18" t="s">
        <v>70</v>
      </c>
      <c r="C6" s="19" t="n">
        <f aca="false">COUNTIFS('Lessons Learned'!$D$5:$D$64,$B6,'Lessons Learned'!$E$5:$E$64,"Went well")</f>
        <v>0</v>
      </c>
      <c r="D6" s="19" t="n">
        <f aca="false">COUNTIFS('Lessons Learned'!$D$5:$D$64,$B6,'Lessons Learned'!$E$5:$E$64,"To improve")</f>
        <v>0</v>
      </c>
      <c r="E6" s="20" t="n">
        <f aca="false">C6+D6</f>
        <v>0</v>
      </c>
    </row>
    <row r="7" customFormat="false" ht="15" hidden="false" customHeight="false" outlineLevel="0" collapsed="false">
      <c r="B7" s="18" t="s">
        <v>71</v>
      </c>
      <c r="C7" s="19" t="n">
        <f aca="false">COUNTIFS('Lessons Learned'!$D$5:$D$64,$B7,'Lessons Learned'!$E$5:$E$64,"Went well")</f>
        <v>0</v>
      </c>
      <c r="D7" s="19" t="n">
        <f aca="false">COUNTIFS('Lessons Learned'!$D$5:$D$64,$B7,'Lessons Learned'!$E$5:$E$64,"To improve")</f>
        <v>0</v>
      </c>
      <c r="E7" s="20" t="n">
        <f aca="false">C7+D7</f>
        <v>0</v>
      </c>
    </row>
    <row r="8" customFormat="false" ht="15" hidden="false" customHeight="false" outlineLevel="0" collapsed="false">
      <c r="B8" s="18" t="s">
        <v>72</v>
      </c>
      <c r="C8" s="19" t="n">
        <f aca="false">COUNTIFS('Lessons Learned'!$D$5:$D$64,$B8,'Lessons Learned'!$E$5:$E$64,"Went well")</f>
        <v>0</v>
      </c>
      <c r="D8" s="19" t="n">
        <f aca="false">COUNTIFS('Lessons Learned'!$D$5:$D$64,$B8,'Lessons Learned'!$E$5:$E$64,"To improve")</f>
        <v>0</v>
      </c>
      <c r="E8" s="20" t="n">
        <f aca="false">C8+D8</f>
        <v>0</v>
      </c>
    </row>
    <row r="9" customFormat="false" ht="15" hidden="false" customHeight="false" outlineLevel="0" collapsed="false">
      <c r="B9" s="18" t="s">
        <v>73</v>
      </c>
      <c r="C9" s="19" t="n">
        <f aca="false">COUNTIFS('Lessons Learned'!$D$5:$D$64,$B9,'Lessons Learned'!$E$5:$E$64,"Went well")</f>
        <v>0</v>
      </c>
      <c r="D9" s="19" t="n">
        <f aca="false">COUNTIFS('Lessons Learned'!$D$5:$D$64,$B9,'Lessons Learned'!$E$5:$E$64,"To improve")</f>
        <v>1</v>
      </c>
      <c r="E9" s="20" t="n">
        <f aca="false">C9+D9</f>
        <v>1</v>
      </c>
    </row>
    <row r="10" customFormat="false" ht="15" hidden="false" customHeight="false" outlineLevel="0" collapsed="false">
      <c r="B10" s="18" t="s">
        <v>74</v>
      </c>
      <c r="C10" s="19" t="n">
        <f aca="false">COUNTIFS('Lessons Learned'!$D$5:$D$64,$B10,'Lessons Learned'!$E$5:$E$64,"Went well")</f>
        <v>0</v>
      </c>
      <c r="D10" s="19" t="n">
        <f aca="false">COUNTIFS('Lessons Learned'!$D$5:$D$64,$B10,'Lessons Learned'!$E$5:$E$64,"To improve")</f>
        <v>0</v>
      </c>
      <c r="E10" s="20" t="n">
        <f aca="false">C10+D10</f>
        <v>0</v>
      </c>
    </row>
    <row r="11" customFormat="false" ht="15" hidden="false" customHeight="false" outlineLevel="0" collapsed="false">
      <c r="B11" s="18" t="s">
        <v>75</v>
      </c>
      <c r="C11" s="19" t="n">
        <f aca="false">COUNTIFS('Lessons Learned'!$D$5:$D$64,$B11,'Lessons Learned'!$E$5:$E$64,"Went well")</f>
        <v>0</v>
      </c>
      <c r="D11" s="19" t="n">
        <f aca="false">COUNTIFS('Lessons Learned'!$D$5:$D$64,$B11,'Lessons Learned'!$E$5:$E$64,"To improve")</f>
        <v>0</v>
      </c>
      <c r="E11" s="20" t="n">
        <f aca="false">C11+D11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3807E"/>
    <pageSetUpPr fitToPage="true"/>
  </sheetPr>
  <dimension ref="A1:N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8" min="7" style="0" width="26"/>
    <col collapsed="false" customWidth="true" hidden="false" outlineLevel="0" max="9" min="9" style="0" width="34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3" min="12" style="0" width="14"/>
    <col collapsed="false" customWidth="true" hidden="false" outlineLevel="0" max="14" min="14" style="0" width="16"/>
  </cols>
  <sheetData>
    <row r="1" customFormat="false" ht="25.5" hidden="false" customHeight="true" outlineLevel="0" collapsed="false">
      <c r="A1" s="16" t="s">
        <v>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customFormat="false" ht="15.75" hidden="false" customHeight="true" outlineLevel="0" collapsed="false">
      <c r="A2" s="17" t="s">
        <v>65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customFormat="false" ht="6" hidden="false" customHeight="true" outlineLevel="0" collapsed="false"/>
    <row r="4" customFormat="false" ht="33.75" hidden="false" customHeight="true" outlineLevel="0" collapsed="false">
      <c r="A4" s="21" t="s">
        <v>77</v>
      </c>
      <c r="B4" s="21" t="s">
        <v>24</v>
      </c>
      <c r="C4" s="21" t="s">
        <v>78</v>
      </c>
      <c r="D4" s="21" t="s">
        <v>66</v>
      </c>
      <c r="E4" s="21" t="s">
        <v>79</v>
      </c>
      <c r="F4" s="21" t="s">
        <v>80</v>
      </c>
      <c r="G4" s="21" t="s">
        <v>81</v>
      </c>
      <c r="H4" s="21" t="s">
        <v>82</v>
      </c>
      <c r="I4" s="21" t="s">
        <v>83</v>
      </c>
      <c r="J4" s="21" t="s">
        <v>84</v>
      </c>
      <c r="K4" s="21" t="s">
        <v>85</v>
      </c>
      <c r="L4" s="21" t="s">
        <v>86</v>
      </c>
      <c r="M4" s="21" t="s">
        <v>87</v>
      </c>
      <c r="N4" s="21" t="s">
        <v>88</v>
      </c>
    </row>
    <row r="5" customFormat="false" ht="35.05" hidden="false" customHeight="false" outlineLevel="0" collapsed="false">
      <c r="A5" s="22" t="s">
        <v>89</v>
      </c>
      <c r="B5" s="23" t="n">
        <v>46315</v>
      </c>
      <c r="C5" s="22" t="s">
        <v>90</v>
      </c>
      <c r="D5" s="22" t="s">
        <v>73</v>
      </c>
      <c r="E5" s="22" t="s">
        <v>68</v>
      </c>
      <c r="F5" s="22" t="s">
        <v>91</v>
      </c>
      <c r="G5" s="22" t="s">
        <v>92</v>
      </c>
      <c r="H5" s="22" t="s">
        <v>93</v>
      </c>
      <c r="I5" s="22" t="s">
        <v>94</v>
      </c>
      <c r="J5" s="22" t="s">
        <v>95</v>
      </c>
      <c r="K5" s="22" t="s">
        <v>96</v>
      </c>
      <c r="L5" s="22" t="s">
        <v>97</v>
      </c>
      <c r="M5" s="22" t="s">
        <v>98</v>
      </c>
      <c r="N5" s="22" t="s">
        <v>99</v>
      </c>
    </row>
    <row r="6" customFormat="false" ht="15" hidden="false" customHeight="false" outlineLevel="0" collapsed="false">
      <c r="A6" s="24"/>
      <c r="B6" s="2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customFormat="false" ht="15" hidden="false" customHeight="false" outlineLevel="0" collapsed="false">
      <c r="A7" s="26"/>
      <c r="B7" s="27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</row>
    <row r="8" customFormat="false" ht="15" hidden="false" customHeight="false" outlineLevel="0" collapsed="false">
      <c r="A8" s="24"/>
      <c r="B8" s="25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</row>
    <row r="9" customFormat="false" ht="15" hidden="false" customHeight="false" outlineLevel="0" collapsed="false">
      <c r="A9" s="26"/>
      <c r="B9" s="27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</row>
    <row r="10" customFormat="false" ht="15" hidden="false" customHeight="false" outlineLevel="0" collapsed="false">
      <c r="A10" s="24"/>
      <c r="B10" s="25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</row>
    <row r="11" customFormat="false" ht="15" hidden="false" customHeight="false" outlineLevel="0" collapsed="false">
      <c r="A11" s="26"/>
      <c r="B11" s="27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</row>
    <row r="12" customFormat="false" ht="15" hidden="false" customHeight="false" outlineLevel="0" collapsed="false">
      <c r="A12" s="24"/>
      <c r="B12" s="25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  <row r="13" customFormat="false" ht="15" hidden="false" customHeight="false" outlineLevel="0" collapsed="false">
      <c r="A13" s="26"/>
      <c r="B13" s="27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</row>
    <row r="14" customFormat="false" ht="15" hidden="false" customHeight="false" outlineLevel="0" collapsed="false">
      <c r="A14" s="24"/>
      <c r="B14" s="25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</row>
    <row r="15" customFormat="false" ht="15" hidden="false" customHeight="false" outlineLevel="0" collapsed="false">
      <c r="A15" s="26"/>
      <c r="B15" s="2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</row>
    <row r="16" customFormat="false" ht="15" hidden="false" customHeight="false" outlineLevel="0" collapsed="false">
      <c r="A16" s="24"/>
      <c r="B16" s="25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customFormat="false" ht="15" hidden="false" customHeight="false" outlineLevel="0" collapsed="false">
      <c r="A17" s="26"/>
      <c r="B17" s="27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</row>
    <row r="18" customFormat="false" ht="15" hidden="false" customHeight="false" outlineLevel="0" collapsed="false">
      <c r="A18" s="24"/>
      <c r="B18" s="25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</row>
    <row r="19" customFormat="false" ht="15" hidden="false" customHeight="false" outlineLevel="0" collapsed="false">
      <c r="A19" s="26"/>
      <c r="B19" s="27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</row>
    <row r="20" customFormat="false" ht="15" hidden="false" customHeight="false" outlineLevel="0" collapsed="false">
      <c r="A20" s="24"/>
      <c r="B20" s="25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customFormat="false" ht="15" hidden="false" customHeight="false" outlineLevel="0" collapsed="false">
      <c r="A21" s="26"/>
      <c r="B21" s="27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</row>
    <row r="22" customFormat="false" ht="15" hidden="false" customHeight="false" outlineLevel="0" collapsed="false">
      <c r="A22" s="24"/>
      <c r="B22" s="25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customFormat="false" ht="15" hidden="false" customHeight="false" outlineLevel="0" collapsed="false">
      <c r="A23" s="26"/>
      <c r="B23" s="27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customFormat="false" ht="15" hidden="false" customHeight="false" outlineLevel="0" collapsed="false">
      <c r="A24" s="24"/>
      <c r="B24" s="25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customFormat="false" ht="15" hidden="false" customHeight="false" outlineLevel="0" collapsed="false">
      <c r="A25" s="26"/>
      <c r="B25" s="27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</row>
    <row r="26" customFormat="false" ht="15" hidden="false" customHeight="false" outlineLevel="0" collapsed="false">
      <c r="A26" s="24"/>
      <c r="B26" s="25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customFormat="false" ht="15" hidden="false" customHeight="false" outlineLevel="0" collapsed="false">
      <c r="A27" s="26"/>
      <c r="B27" s="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</row>
    <row r="28" customFormat="false" ht="15" hidden="false" customHeight="false" outlineLevel="0" collapsed="false">
      <c r="A28" s="24"/>
      <c r="B28" s="25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customFormat="false" ht="15" hidden="false" customHeight="false" outlineLevel="0" collapsed="false">
      <c r="A29" s="26"/>
      <c r="B29" s="27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</row>
    <row r="30" customFormat="false" ht="15" hidden="false" customHeight="false" outlineLevel="0" collapsed="false">
      <c r="A30" s="24"/>
      <c r="B30" s="25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customFormat="false" ht="15" hidden="false" customHeight="false" outlineLevel="0" collapsed="false">
      <c r="A31" s="26"/>
      <c r="B31" s="27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</row>
    <row r="32" customFormat="false" ht="15" hidden="false" customHeight="false" outlineLevel="0" collapsed="false">
      <c r="A32" s="24"/>
      <c r="B32" s="25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customFormat="false" ht="15" hidden="false" customHeight="false" outlineLevel="0" collapsed="false">
      <c r="A33" s="26"/>
      <c r="B33" s="27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</row>
    <row r="34" customFormat="false" ht="15" hidden="false" customHeight="false" outlineLevel="0" collapsed="false">
      <c r="A34" s="24"/>
      <c r="B34" s="25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customFormat="false" ht="15" hidden="false" customHeight="false" outlineLevel="0" collapsed="false">
      <c r="A35" s="26"/>
      <c r="B35" s="27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</row>
    <row r="36" customFormat="false" ht="15" hidden="false" customHeight="false" outlineLevel="0" collapsed="false">
      <c r="A36" s="24"/>
      <c r="B36" s="25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customFormat="false" ht="15" hidden="false" customHeight="false" outlineLevel="0" collapsed="false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</row>
    <row r="38" customFormat="false" ht="15" hidden="false" customHeight="false" outlineLevel="0" collapsed="false">
      <c r="A38" s="24"/>
      <c r="B38" s="25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customFormat="false" ht="15" hidden="false" customHeight="false" outlineLevel="0" collapsed="false">
      <c r="A39" s="26"/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</row>
    <row r="40" customFormat="false" ht="15" hidden="false" customHeight="false" outlineLevel="0" collapsed="false">
      <c r="A40" s="24"/>
      <c r="B40" s="25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customFormat="false" ht="15" hidden="false" customHeight="false" outlineLevel="0" collapsed="false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customFormat="false" ht="15" hidden="false" customHeight="false" outlineLevel="0" collapsed="false">
      <c r="A42" s="24"/>
      <c r="B42" s="25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customFormat="false" ht="15" hidden="false" customHeight="false" outlineLevel="0" collapsed="false">
      <c r="A43" s="26"/>
      <c r="B43" s="27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</row>
    <row r="44" customFormat="false" ht="15" hidden="false" customHeight="false" outlineLevel="0" collapsed="false">
      <c r="A44" s="24"/>
      <c r="B44" s="25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customFormat="false" ht="15" hidden="false" customHeight="false" outlineLevel="0" collapsed="false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</row>
    <row r="46" customFormat="false" ht="15" hidden="false" customHeight="false" outlineLevel="0" collapsed="false">
      <c r="A46" s="24"/>
      <c r="B46" s="25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customFormat="false" ht="15" hidden="false" customHeight="false" outlineLevel="0" collapsed="false">
      <c r="A47" s="26"/>
      <c r="B47" s="27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</row>
    <row r="48" customFormat="false" ht="15" hidden="false" customHeight="false" outlineLevel="0" collapsed="false">
      <c r="A48" s="24"/>
      <c r="B48" s="25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customFormat="false" ht="15" hidden="false" customHeight="false" outlineLevel="0" collapsed="false">
      <c r="A49" s="26"/>
      <c r="B49" s="27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</row>
    <row r="50" customFormat="false" ht="15" hidden="false" customHeight="false" outlineLevel="0" collapsed="false">
      <c r="A50" s="24"/>
      <c r="B50" s="25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customFormat="false" ht="15" hidden="false" customHeight="false" outlineLevel="0" collapsed="false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</row>
    <row r="52" customFormat="false" ht="15" hidden="false" customHeight="false" outlineLevel="0" collapsed="false">
      <c r="A52" s="24"/>
      <c r="B52" s="25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customFormat="false" ht="15" hidden="false" customHeight="false" outlineLevel="0" collapsed="false">
      <c r="A53" s="26"/>
      <c r="B53" s="27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</row>
    <row r="54" customFormat="false" ht="15" hidden="false" customHeight="false" outlineLevel="0" collapsed="false">
      <c r="A54" s="24"/>
      <c r="B54" s="25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customFormat="false" ht="15" hidden="false" customHeight="false" outlineLevel="0" collapsed="false">
      <c r="A55" s="26"/>
      <c r="B55" s="27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</row>
    <row r="56" customFormat="false" ht="15" hidden="false" customHeight="false" outlineLevel="0" collapsed="false">
      <c r="A56" s="24"/>
      <c r="B56" s="25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customFormat="false" ht="15" hidden="false" customHeight="false" outlineLevel="0" collapsed="false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</row>
    <row r="58" customFormat="false" ht="15" hidden="false" customHeight="false" outlineLevel="0" collapsed="false">
      <c r="A58" s="24"/>
      <c r="B58" s="25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customFormat="false" ht="15" hidden="false" customHeight="false" outlineLevel="0" collapsed="false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</row>
    <row r="60" customFormat="false" ht="15" hidden="false" customHeight="false" outlineLevel="0" collapsed="false">
      <c r="A60" s="24"/>
      <c r="B60" s="25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customFormat="false" ht="15" hidden="false" customHeight="false" outlineLevel="0" collapsed="false">
      <c r="A61" s="26"/>
      <c r="B61" s="27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</row>
    <row r="62" customFormat="false" ht="15" hidden="false" customHeight="false" outlineLevel="0" collapsed="false">
      <c r="A62" s="24"/>
      <c r="B62" s="25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customFormat="false" ht="15" hidden="false" customHeight="false" outlineLevel="0" collapsed="false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customFormat="false" ht="15" hidden="false" customHeight="false" outlineLevel="0" collapsed="false">
      <c r="A64" s="24"/>
      <c r="B64" s="25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</sheetData>
  <autoFilter ref="A4:N64"/>
  <mergeCells count="2">
    <mergeCell ref="A1:N1"/>
    <mergeCell ref="A2:N2"/>
  </mergeCells>
  <conditionalFormatting sqref="E5:E64">
    <cfRule type="cellIs" priority="2" operator="equal" aboveAverage="0" equalAverage="0" bottom="0" percent="0" rank="0" text="" dxfId="8">
      <formula>"Went well"</formula>
    </cfRule>
    <cfRule type="cellIs" priority="3" operator="equal" aboveAverage="0" equalAverage="0" bottom="0" percent="0" rank="0" text="" dxfId="9">
      <formula>"To improve"</formula>
    </cfRule>
  </conditionalFormatting>
  <dataValidations count="5">
    <dataValidation allowBlank="true" error="Please select a value from the list (toolkit controlled vocabulary)." errorStyle="stop" errorTitle="Invalid entry" operator="between" showDropDown="false" showErrorMessage="true" showInputMessage="false" sqref="C5:C64" type="list">
      <formula1>Lists!$A$2:$A$6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D5:D64" type="list">
      <formula1>Lists!$B$2:$B$8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E5:E64" type="list">
      <formula1>Lists!$C$2:$C$3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K5:K64" type="list">
      <formula1>Lists!$D$2:$D$5</formula1>
      <formula2>0</formula2>
    </dataValidation>
    <dataValidation allowBlank="true" error="Please select a value from the list (toolkit controlled vocabulary)." errorStyle="stop" errorTitle="Invalid entry" operator="between" showDropDown="false" showErrorMessage="true" showInputMessage="false" sqref="L5:L64" type="list">
      <formula1>Lists!$E$2:$E$4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8" t="s">
        <v>100</v>
      </c>
      <c r="B1" s="28" t="s">
        <v>101</v>
      </c>
      <c r="C1" s="28" t="s">
        <v>102</v>
      </c>
      <c r="D1" s="28" t="s">
        <v>103</v>
      </c>
      <c r="E1" s="28" t="s">
        <v>104</v>
      </c>
    </row>
    <row r="2" customFormat="false" ht="15" hidden="false" customHeight="false" outlineLevel="0" collapsed="false">
      <c r="A2" s="0" t="s">
        <v>105</v>
      </c>
      <c r="B2" s="0" t="s">
        <v>7</v>
      </c>
      <c r="C2" s="0" t="s">
        <v>67</v>
      </c>
      <c r="D2" s="0" t="s">
        <v>96</v>
      </c>
      <c r="E2" s="0" t="s">
        <v>106</v>
      </c>
    </row>
    <row r="3" customFormat="false" ht="15" hidden="false" customHeight="false" outlineLevel="0" collapsed="false">
      <c r="A3" s="0" t="s">
        <v>90</v>
      </c>
      <c r="B3" s="0" t="s">
        <v>70</v>
      </c>
      <c r="C3" s="0" t="s">
        <v>68</v>
      </c>
      <c r="D3" s="0" t="s">
        <v>107</v>
      </c>
      <c r="E3" s="0" t="s">
        <v>108</v>
      </c>
    </row>
    <row r="4" customFormat="false" ht="15" hidden="false" customHeight="false" outlineLevel="0" collapsed="false">
      <c r="A4" s="0" t="s">
        <v>109</v>
      </c>
      <c r="B4" s="0" t="s">
        <v>71</v>
      </c>
      <c r="D4" s="0" t="s">
        <v>110</v>
      </c>
      <c r="E4" s="0" t="s">
        <v>97</v>
      </c>
    </row>
    <row r="5" customFormat="false" ht="15" hidden="false" customHeight="false" outlineLevel="0" collapsed="false">
      <c r="A5" s="0" t="s">
        <v>111</v>
      </c>
      <c r="B5" s="0" t="s">
        <v>72</v>
      </c>
      <c r="D5" s="0" t="s">
        <v>112</v>
      </c>
    </row>
    <row r="6" customFormat="false" ht="15" hidden="false" customHeight="false" outlineLevel="0" collapsed="false">
      <c r="A6" s="0" t="s">
        <v>113</v>
      </c>
      <c r="B6" s="0" t="s">
        <v>73</v>
      </c>
    </row>
    <row r="7" customFormat="false" ht="15" hidden="false" customHeight="false" outlineLevel="0" collapsed="false">
      <c r="B7" s="0" t="s">
        <v>74</v>
      </c>
    </row>
    <row r="8" customFormat="false" ht="15" hidden="false" customHeight="false" outlineLevel="0" collapsed="false">
      <c r="B8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PMI Predictive Project Management Toolkit</cp:category>
  <dcterms:created xsi:type="dcterms:W3CDTF">2026-10-28T04:09:03Z</dcterms:created>
  <dc:creator>[Project Manager]</dc:creator>
  <dc:description/>
  <cp:keywords>PRJ-2026-001-LLR PMBOK 8</cp:keywords>
  <dc:language>en-US</dc:language>
  <cp:lastModifiedBy/>
  <dcterms:modified xsi:type="dcterms:W3CDTF">2026-10-27T22:09:15Z</dcterms:modified>
  <cp:revision>1</cp:revision>
  <dc:subject>[Project Name]</dc:subject>
  <dc:title>24 - Lessons Learned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