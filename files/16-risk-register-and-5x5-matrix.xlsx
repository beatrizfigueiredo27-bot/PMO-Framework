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5x5 Matrix" sheetId="2" state="visible" r:id="rId4"/>
    <sheet name="Scales" sheetId="3" state="visible" r:id="rId5"/>
    <sheet name="Risk Register" sheetId="4" state="visible" r:id="rId6"/>
    <sheet name="Lists" sheetId="5" state="hidden" r:id="rId7"/>
  </sheets>
  <definedNames>
    <definedName function="false" hidden="false" localSheetId="3" name="_xlnm.Print_Titles" vbProcedure="false">'Risk Register'!$4:$4</definedName>
    <definedName function="false" hidden="true" localSheetId="3" name="_xlnm._FilterDatabase" vbProcedure="false">'Risk Register'!$A$4:$Z$84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<sst xmlns="http://schemas.openxmlformats.org/spreadsheetml/2006/main" count="210" uniqueCount="184">
  <si>
    <t xml:space="preserve">[ORGANIZATION NAME]</t>
  </si>
  <si>
    <t xml:space="preserve">16 — Risk Register + 5×5 Matrix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</si>
  <si>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</si>
  <si>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</si>
  <si>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</si>
  <si>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</si>
  <si>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</si>
  <si>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Risk</t>
  </si>
  <si>
    <t xml:space="preserve">Project ID</t>
  </si>
  <si>
    <t xml:space="preserve">PRJ-2026-001</t>
  </si>
  <si>
    <t xml:space="preserve">Focus area(s)</t>
  </si>
  <si>
    <t xml:space="preserve">Planning, Executing, Monitoring &amp; Controlling</t>
  </si>
  <si>
    <t xml:space="preserve">Document ID</t>
  </si>
  <si>
    <t xml:space="preserve">PRJ-2026-001-RKR</t>
  </si>
  <si>
    <t xml:space="preserve">Toolkit</t>
  </si>
  <si>
    <t xml:space="preserve">PMI Predictive Project Management Toolkit</t>
  </si>
  <si>
    <t xml:space="preserve">Document title</t>
  </si>
  <si>
    <t xml:space="preserve">Risk Register + 5×5 Matrix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</si>
  <si>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</si>
  <si>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</si>
  <si>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</si>
  <si>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</si>
  <si>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</si>
  <si>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</si>
  <si>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</si>
  <si>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</si>
  <si>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</si>
  <si>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</si>
  <si>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</si>
  <si>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</si>
  <si>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</si>
  <si>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</si>
  <si>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</si>
  <si>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</si>
  <si>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</si>
  <si>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</si>
  <si>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</si>
  <si>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</si>
  <si>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</si>
  <si>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</si>
  <si>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</si>
  <si>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</si>
  <si>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</si>
  <si>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</si>
  <si>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</si>
  <si>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</si>
  <si>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</si>
  <si>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</si>
  <si>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</si>
  <si>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</si>
  <si>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</si>
  <si>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</si>
  <si>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</si>
  <si>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</si>
  <si>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</si>
  <si>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</si>
  <si>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</si>
  <si>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</si>
  <si>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Describe each risk with cause → event → effect ('Because of…, … may occur, resulting in…').</t>
  </si>
  <si>
    <t xml:space="preserve">2. Score probability and impact 1–5 using the scales in the Risk Management Plan (doc 15). Score = P × I; rating bands: 1–4 Low, 5–9 Medium, 10–15 High, 16–25 Critical.</t>
  </si>
  <si>
    <t xml:space="preserve">3. The 5×5 Matrix sheet counts open risks per cell (inherent and residual). Materialized risks move to the Issues log in the RAID Log (doc 19).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</si>
  <si>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</si>
  <si>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</si>
  <si>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</si>
  <si>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16 — Risk Register + 5×5 Matrix  |  Probability × Impact Heat Map (open risks)</t>
  </si>
  <si>
    <t xml:space="preserve">[Project Name]   •   PRJ-2026-001-RKR   •   v0.1 Draft   •   Internal</t>
  </si>
  <si>
    <t xml:space="preserve">INHERENT (before response)</t>
  </si>
  <si>
    <t xml:space="preserve">RESIDUAL (after response)</t>
  </si>
  <si>
    <t xml:space="preserve">IMPACT →</t>
  </si>
  <si>
    <t xml:space="preserve">PROB. ↓</t>
  </si>
  <si>
    <t xml:space="preserve">Open risks by rating</t>
  </si>
  <si>
    <t xml:space="preserve">Rating</t>
  </si>
  <si>
    <t xml:space="preserve">Inherent</t>
  </si>
  <si>
    <t xml:space="preserve">Residual</t>
  </si>
  <si>
    <t xml:space="preserve">Action required</t>
  </si>
  <si>
    <t xml:space="preserve">Critical</t>
  </si>
  <si>
    <t xml:space="preserve">Escalate to Sponsor/SC within 24 h; weekly review</t>
  </si>
  <si>
    <t xml:space="preserve">High</t>
  </si>
  <si>
    <t xml:space="preserve">Response plan within 5 days; weekly review</t>
  </si>
  <si>
    <t xml:space="preserve">Medium</t>
  </si>
  <si>
    <t xml:space="preserve">Response plan; monthly review</t>
  </si>
  <si>
    <t xml:space="preserve">Low</t>
  </si>
  <si>
    <t xml:space="preserve">Accept &amp; monitor (watch list)</t>
  </si>
  <si>
    <t xml:space="preserve">Total EMV of open risks (contingency basis):</t>
  </si>
  <si>
    <t xml:space="preserve">16 — Risk Register + 5×5 Matrix  |  Probability &amp; Impact Scales (from doc 15)</t>
  </si>
  <si>
    <t xml:space="preserve">Score</t>
  </si>
  <si>
    <t xml:space="preserve">Probability</t>
  </si>
  <si>
    <t xml:space="preserve">Cost impact</t>
  </si>
  <si>
    <t xml:space="preserve">Schedule impact</t>
  </si>
  <si>
    <t xml:space="preserve">Scope / quality</t>
  </si>
  <si>
    <t xml:space="preserve">Safety / reputation</t>
  </si>
  <si>
    <t xml:space="preserve">&gt; 80%</t>
  </si>
  <si>
    <t xml:space="preserve">&gt; 20% BAC</t>
  </si>
  <si>
    <t xml:space="preserve">&gt; 20% / misses gate</t>
  </si>
  <si>
    <t xml:space="preserve">Product unusable</t>
  </si>
  <si>
    <t xml:space="preserve">Serious injury / national media</t>
  </si>
  <si>
    <t xml:space="preserve">61–80%</t>
  </si>
  <si>
    <t xml:space="preserve">10–20%</t>
  </si>
  <si>
    <t xml:space="preserve">Unacceptable to sponsor</t>
  </si>
  <si>
    <t xml:space="preserve">Lost-time injury / regulator</t>
  </si>
  <si>
    <t xml:space="preserve">41–60%</t>
  </si>
  <si>
    <t xml:space="preserve">5–10%</t>
  </si>
  <si>
    <t xml:space="preserve">Major areas affected</t>
  </si>
  <si>
    <t xml:space="preserve">Medical aid / local media</t>
  </si>
  <si>
    <t xml:space="preserve">21–40%</t>
  </si>
  <si>
    <t xml:space="preserve">1–5%</t>
  </si>
  <si>
    <t xml:space="preserve">Minor areas affected</t>
  </si>
  <si>
    <t xml:space="preserve">First aid / internal complaint</t>
  </si>
  <si>
    <t xml:space="preserve">≤ 20%</t>
  </si>
  <si>
    <t xml:space="preserve">&lt; 1%</t>
  </si>
  <si>
    <t xml:space="preserve">Barely noticeable</t>
  </si>
  <si>
    <t xml:space="preserve">Negligible</t>
  </si>
  <si>
    <t xml:space="preserve">EMV uses probability mid-points: 1=10%, 2=30%, 3=50%, 4=70%, 5=90%. Opportunities produce negative EMV (reduce contingency).</t>
  </si>
  <si>
    <t xml:space="preserve">16 — Risk Register + 5×5 Matrix  |  Risk Register</t>
  </si>
  <si>
    <t xml:space="preserve">Risk ID</t>
  </si>
  <si>
    <t xml:space="preserve">Date raised</t>
  </si>
  <si>
    <t xml:space="preserve">Category (RBS)</t>
  </si>
  <si>
    <t xml:space="preserve">Threat / opportunity</t>
  </si>
  <si>
    <t xml:space="preserve">Cause</t>
  </si>
  <si>
    <t xml:space="preserve">Risk event</t>
  </si>
  <si>
    <t xml:space="preserve">Effect on objectives</t>
  </si>
  <si>
    <t xml:space="preserve">Trigger / early warning</t>
  </si>
  <si>
    <t xml:space="preserve">Prob. (1-5)</t>
  </si>
  <si>
    <t xml:space="preserve">Impact (1-5)</t>
  </si>
  <si>
    <t xml:space="preserve">ƒ Score</t>
  </si>
  <si>
    <t xml:space="preserve">ƒ Rating</t>
  </si>
  <si>
    <t xml:space="preserve">Proximity</t>
  </si>
  <si>
    <t xml:space="preserve">Response strategy</t>
  </si>
  <si>
    <t xml:space="preserve">Response actions</t>
  </si>
  <si>
    <t xml:space="preserve">Risk owner</t>
  </si>
  <si>
    <t xml:space="preserve">Action due</t>
  </si>
  <si>
    <t xml:space="preserve">Residual P</t>
  </si>
  <si>
    <t xml:space="preserve">Residual I</t>
  </si>
  <si>
    <t xml:space="preserve">ƒ Residual score</t>
  </si>
  <si>
    <t xml:space="preserve">ƒ Residual rating</t>
  </si>
  <si>
    <t xml:space="preserve">Contingency / fallback plan</t>
  </si>
  <si>
    <t xml:space="preserve">Cost impact if occurs (CAD)</t>
  </si>
  <si>
    <t xml:space="preserve">ƒ EMV (P% × cost)</t>
  </si>
  <si>
    <t xml:space="preserve">Last reviewed</t>
  </si>
  <si>
    <t xml:space="preserve">R-001</t>
  </si>
  <si>
    <t xml:space="preserve">External</t>
  </si>
  <si>
    <t xml:space="preserve">Threat</t>
  </si>
  <si>
    <t xml:space="preserve">Single supplier for key component</t>
  </si>
  <si>
    <t xml:space="preserve">Supplier delivers late</t>
  </si>
  <si>
    <t xml:space="preserve">Build phase delayed 3–4 weeks; cost of idle team</t>
  </si>
  <si>
    <t xml:space="preserve">Supplier misses interim milestone</t>
  </si>
  <si>
    <t xml:space="preserve">1-3 months</t>
  </si>
  <si>
    <t xml:space="preserve">Mitigate</t>
  </si>
  <si>
    <t xml:space="preserve">Weekly supplier check-ins; identify alternate supplier; milestone payments</t>
  </si>
  <si>
    <t xml:space="preserve">[PM]</t>
  </si>
  <si>
    <t xml:space="preserve">Engage alternate supplier; re-sequence work</t>
  </si>
  <si>
    <t xml:space="preserve">Open</t>
  </si>
  <si>
    <t xml:space="preserve">R-002</t>
  </si>
  <si>
    <t xml:space="preserve">Organizational</t>
  </si>
  <si>
    <t xml:space="preserve">Opportunity</t>
  </si>
  <si>
    <t xml:space="preserve">Shared platform being built by another program</t>
  </si>
  <si>
    <t xml:space="preserve">Reuse of platform components</t>
  </si>
  <si>
    <t xml:space="preserve">Reduce build effort by ~15%</t>
  </si>
  <si>
    <t xml:space="preserve">Platform release confirmed</t>
  </si>
  <si>
    <t xml:space="preserve">3-6 months</t>
  </si>
  <si>
    <t xml:space="preserve">Enhance</t>
  </si>
  <si>
    <t xml:space="preserve">Agree reuse with program lead; align architecture</t>
  </si>
  <si>
    <t xml:space="preserve">[Tech Lead]</t>
  </si>
  <si>
    <t xml:space="preserve">Monitoring</t>
  </si>
  <si>
    <t xml:space="preserve">RBS</t>
  </si>
  <si>
    <t xml:space="preserve">TO</t>
  </si>
  <si>
    <t xml:space="preserve">Score5</t>
  </si>
  <si>
    <t xml:space="preserve">Prox</t>
  </si>
  <si>
    <t xml:space="preserve">Strategy</t>
  </si>
  <si>
    <t xml:space="preserve">RiskStatus</t>
  </si>
  <si>
    <t xml:space="preserve">Technical</t>
  </si>
  <si>
    <t xml:space="preserve">&lt; 1 month</t>
  </si>
  <si>
    <t xml:space="preserve">Avoid</t>
  </si>
  <si>
    <t xml:space="preserve">Transfer</t>
  </si>
  <si>
    <t xml:space="preserve">Occurred (issue)</t>
  </si>
  <si>
    <t xml:space="preserve">Project management</t>
  </si>
  <si>
    <t xml:space="preserve">&gt; 6 months</t>
  </si>
  <si>
    <t xml:space="preserve">Accept</t>
  </si>
  <si>
    <t xml:space="preserve">Closed</t>
  </si>
  <si>
    <t xml:space="preserve">Health, safety &amp; environment</t>
  </si>
  <si>
    <t xml:space="preserve">Escalate</t>
  </si>
  <si>
    <t xml:space="preserve">Commercial / contractual</t>
  </si>
  <si>
    <t xml:space="preserve">Exploit</t>
  </si>
  <si>
    <t xml:space="preserve">Share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</si>
</sst>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&quot;&quot;"/>
    <numFmt numFmtId="166" formatCode="General"/>
    <numFmt numFmtId="167" formatCode="#,##0;[RED]\(#,##0\);\-"/>
    <numFmt numFmtId="168" formatCode="yyyy\-mm\-dd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E2A36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i val="true"/>
      <sz val="9"/>
      <color rgb="FF6B7785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9.5"/>
      <color rgb="FF1E2A36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EAF2F2"/>
      </patternFill>
    </fill>
    <fill>
      <patternFill patternType="solid">
        <fgColor rgb="FFE0A100"/>
        <bgColor rgb="FFE67E22"/>
      </patternFill>
    </fill>
    <fill>
      <patternFill patternType="solid">
        <fgColor rgb="FFE67E22"/>
        <bgColor rgb="FFE0A100"/>
      </patternFill>
    </fill>
    <fill>
      <patternFill patternType="solid">
        <fgColor rgb="FFC0392B"/>
        <bgColor rgb="FF993366"/>
      </patternFill>
    </fill>
    <fill>
      <patternFill patternType="solid">
        <fgColor rgb="FF2E8B57"/>
        <bgColor rgb="FF13807E"/>
      </patternFill>
    </fill>
    <fill>
      <patternFill patternType="solid">
        <fgColor rgb="FFEAF2F2"/>
        <bgColor rgb="FFF3F6F9"/>
      </patternFill>
    </fill>
    <fill>
      <patternFill patternType="solid">
        <fgColor rgb="FF1380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2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2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Calibri"/>
        <charset val="1"/>
        <family val="0"/>
        <b val="1"/>
        <color rgb="FFFFFFFF"/>
      </font>
      <fill>
        <patternFill>
          <bgColor rgb="FFC0392B"/>
        </patternFill>
      </fill>
    </dxf>
    <dxf>
      <font>
        <name val="Calibri"/>
        <charset val="1"/>
        <family val="0"/>
        <b val="1"/>
        <color rgb="FF7A1E10"/>
      </font>
      <fill>
        <patternFill>
          <bgColor rgb="FFF5B7A8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F5B7A8"/>
          <bgColor rgb="FF000000"/>
        </patternFill>
      </fill>
    </dxf>
    <dxf>
      <fill>
        <patternFill patternType="solid">
          <fgColor rgb="FFFCEFC7"/>
          <bgColor rgb="FF000000"/>
        </patternFill>
      </fill>
    </dxf>
    <dxf>
      <fill>
        <patternFill patternType="solid">
          <fgColor rgb="FF7A1E10"/>
          <bgColor rgb="FF000000"/>
        </patternFill>
      </fill>
    </dxf>
    <dxf>
      <fill>
        <patternFill patternType="solid">
          <fgColor rgb="FF8A62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5B7A8"/>
        </patternFill>
      </fill>
    </dxf>
    <dxf>
      <fill>
        <patternFill>
          <bgColor rgb="FFFCEFC7"/>
        </patternFill>
      </fill>
    </dxf>
    <dxf>
      <fill>
        <patternFill>
          <bgColor rgb="FFD5E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10"/>
      <rgbColor rgb="FF008000"/>
      <rgbColor rgb="FF000080"/>
      <rgbColor rgb="FF8A6200"/>
      <rgbColor rgb="FF800080"/>
      <rgbColor rgb="FF13807E"/>
      <rgbColor rgb="FFB8C4D0"/>
      <rgbColor rgb="FF6B7785"/>
      <rgbColor rgb="FF9999FF"/>
      <rgbColor rgb="FF993366"/>
      <rgbColor rgb="FFFCEFC7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3F6F9"/>
      <rgbColor rgb="FF9FD3D1"/>
      <rgbColor rgb="FFFF99CC"/>
      <rgbColor rgb="FFCC99FF"/>
      <rgbColor rgb="FFF5B7A8"/>
      <rgbColor rgb="FF3366FF"/>
      <rgbColor rgb="FF33CCCC"/>
      <rgbColor rgb="FF99CC00"/>
      <rgbColor rgb="FFFFCC00"/>
      <rgbColor rgb="FFE0A100"/>
      <rgbColor rgb="FFE67E22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8" min="3" style="0" width="9"/>
    <col collapsed="false" customWidth="true" hidden="false" outlineLevel="0" max="9" min="9" style="0" width="4"/>
    <col collapsed="false" customWidth="true" hidden="false" outlineLevel="0" max="10" min="10" style="0" width="12"/>
    <col collapsed="false" customWidth="true" hidden="false" outlineLevel="0" max="16" min="11" style="0" width="9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customFormat="false" ht="6" hidden="false" customHeight="true" outlineLevel="0" collapsed="false"/>
    <row r="4" customFormat="false" ht="15" hidden="false" customHeight="false" outlineLevel="0" collapsed="false">
      <c r="B4" s="4" t="s">
        <v>66</v>
      </c>
      <c r="J4" s="4" t="s">
        <v>67</v>
      </c>
    </row>
    <row r="5" customFormat="false" ht="15" hidden="false" customHeight="false" outlineLevel="0" collapsed="false">
      <c r="E5" s="18" t="s">
        <v>68</v>
      </c>
      <c r="M5" s="18" t="s">
        <v>68</v>
      </c>
    </row>
    <row r="6" customFormat="false" ht="15" hidden="false" customHeight="false" outlineLevel="0" collapsed="false">
      <c r="B6" s="19" t="s">
        <v>69</v>
      </c>
      <c r="C6" s="20" t="n">
        <v>1</v>
      </c>
      <c r="D6" s="20" t="n">
        <v>2</v>
      </c>
      <c r="E6" s="20" t="n">
        <v>3</v>
      </c>
      <c r="F6" s="20" t="n">
        <v>4</v>
      </c>
      <c r="G6" s="20" t="n">
        <v>5</v>
      </c>
      <c r="J6" s="19" t="s">
        <v>69</v>
      </c>
      <c r="K6" s="20" t="n">
        <v>1</v>
      </c>
      <c r="L6" s="20" t="n">
        <v>2</v>
      </c>
      <c r="M6" s="20" t="n">
        <v>3</v>
      </c>
      <c r="N6" s="20" t="n">
        <v>4</v>
      </c>
      <c r="O6" s="20" t="n">
        <v>5</v>
      </c>
    </row>
    <row r="7" customFormat="false" ht="39.75" hidden="false" customHeight="true" outlineLevel="0" collapsed="false">
      <c r="B7" s="21" t="n">
        <v>5</v>
      </c>
      <c r="C7" s="22" t="n">
        <f aca="false">COUNTIFS('Risk Register'!$I$5:$I$84,5,'Risk Register'!$J$5:$J$84,1,'Risk Register'!$Y$5:$Y$84,"&lt;&gt;Closed")</f>
        <v>0</v>
      </c>
      <c r="D7" s="23" t="n">
        <f aca="false">COUNTIFS('Risk Register'!$I$5:$I$84,5,'Risk Register'!$J$5:$J$84,2,'Risk Register'!$Y$5:$Y$84,"&lt;&gt;Closed")</f>
        <v>0</v>
      </c>
      <c r="E7" s="23" t="n">
        <f aca="false">COUNTIFS('Risk Register'!$I$5:$I$84,5,'Risk Register'!$J$5:$J$84,3,'Risk Register'!$Y$5:$Y$84,"&lt;&gt;Closed")</f>
        <v>0</v>
      </c>
      <c r="F7" s="24" t="n">
        <f aca="false">COUNTIFS('Risk Register'!$I$5:$I$84,5,'Risk Register'!$J$5:$J$84,4,'Risk Register'!$Y$5:$Y$84,"&lt;&gt;Closed")</f>
        <v>0</v>
      </c>
      <c r="G7" s="24" t="n">
        <f aca="false">COUNTIFS('Risk Register'!$I$5:$I$84,5,'Risk Register'!$J$5:$J$84,5,'Risk Register'!$Y$5:$Y$84,"&lt;&gt;Closed")</f>
        <v>0</v>
      </c>
      <c r="J7" s="21" t="n">
        <v>5</v>
      </c>
      <c r="K7" s="22" t="n">
        <f aca="false">COUNTIFS('Risk Register'!$R$5:$R$84,5,'Risk Register'!$S$5:$S$84,1,'Risk Register'!$Y$5:$Y$84,"&lt;&gt;Closed")</f>
        <v>0</v>
      </c>
      <c r="L7" s="23" t="n">
        <f aca="false">COUNTIFS('Risk Register'!$R$5:$R$84,5,'Risk Register'!$S$5:$S$84,2,'Risk Register'!$Y$5:$Y$84,"&lt;&gt;Closed")</f>
        <v>0</v>
      </c>
      <c r="M7" s="23" t="n">
        <f aca="false">COUNTIFS('Risk Register'!$R$5:$R$84,5,'Risk Register'!$S$5:$S$84,3,'Risk Register'!$Y$5:$Y$84,"&lt;&gt;Closed")</f>
        <v>0</v>
      </c>
      <c r="N7" s="24" t="n">
        <f aca="false">COUNTIFS('Risk Register'!$R$5:$R$84,5,'Risk Register'!$S$5:$S$84,4,'Risk Register'!$Y$5:$Y$84,"&lt;&gt;Closed")</f>
        <v>0</v>
      </c>
      <c r="O7" s="24" t="n">
        <f aca="false">COUNTIFS('Risk Register'!$R$5:$R$84,5,'Risk Register'!$S$5:$S$84,5,'Risk Register'!$Y$5:$Y$84,"&lt;&gt;Closed")</f>
        <v>0</v>
      </c>
    </row>
    <row r="8" customFormat="false" ht="39.75" hidden="false" customHeight="true" outlineLevel="0" collapsed="false">
      <c r="B8" s="21" t="n">
        <v>4</v>
      </c>
      <c r="C8" s="25" t="n">
        <f aca="false">COUNTIFS('Risk Register'!$I$5:$I$84,4,'Risk Register'!$J$5:$J$84,1,'Risk Register'!$Y$5:$Y$84,"&lt;&gt;Closed")</f>
        <v>0</v>
      </c>
      <c r="D8" s="22" t="n">
        <f aca="false">COUNTIFS('Risk Register'!$I$5:$I$84,4,'Risk Register'!$J$5:$J$84,2,'Risk Register'!$Y$5:$Y$84,"&lt;&gt;Closed")</f>
        <v>0</v>
      </c>
      <c r="E8" s="23" t="n">
        <f aca="false">COUNTIFS('Risk Register'!$I$5:$I$84,4,'Risk Register'!$J$5:$J$84,3,'Risk Register'!$Y$5:$Y$84,"&lt;&gt;Closed")</f>
        <v>0</v>
      </c>
      <c r="F8" s="24" t="n">
        <f aca="false">COUNTIFS('Risk Register'!$I$5:$I$84,4,'Risk Register'!$J$5:$J$84,4,'Risk Register'!$Y$5:$Y$84,"&lt;&gt;Closed")</f>
        <v>0</v>
      </c>
      <c r="G8" s="24" t="n">
        <f aca="false">COUNTIFS('Risk Register'!$I$5:$I$84,4,'Risk Register'!$J$5:$J$84,5,'Risk Register'!$Y$5:$Y$84,"&lt;&gt;Closed")</f>
        <v>0</v>
      </c>
      <c r="J8" s="21" t="n">
        <v>4</v>
      </c>
      <c r="K8" s="25" t="n">
        <f aca="false">COUNTIFS('Risk Register'!$R$5:$R$84,4,'Risk Register'!$S$5:$S$84,1,'Risk Register'!$Y$5:$Y$84,"&lt;&gt;Closed")</f>
        <v>0</v>
      </c>
      <c r="L8" s="22" t="n">
        <f aca="false">COUNTIFS('Risk Register'!$R$5:$R$84,4,'Risk Register'!$S$5:$S$84,2,'Risk Register'!$Y$5:$Y$84,"&lt;&gt;Closed")</f>
        <v>0</v>
      </c>
      <c r="M8" s="23" t="n">
        <f aca="false">COUNTIFS('Risk Register'!$R$5:$R$84,4,'Risk Register'!$S$5:$S$84,3,'Risk Register'!$Y$5:$Y$84,"&lt;&gt;Closed")</f>
        <v>0</v>
      </c>
      <c r="N8" s="24" t="n">
        <f aca="false">COUNTIFS('Risk Register'!$R$5:$R$84,4,'Risk Register'!$S$5:$S$84,4,'Risk Register'!$Y$5:$Y$84,"&lt;&gt;Closed")</f>
        <v>0</v>
      </c>
      <c r="O8" s="24" t="n">
        <f aca="false">COUNTIFS('Risk Register'!$R$5:$R$84,4,'Risk Register'!$S$5:$S$84,5,'Risk Register'!$Y$5:$Y$84,"&lt;&gt;Closed")</f>
        <v>0</v>
      </c>
    </row>
    <row r="9" customFormat="false" ht="39.75" hidden="false" customHeight="true" outlineLevel="0" collapsed="false">
      <c r="B9" s="21" t="n">
        <v>3</v>
      </c>
      <c r="C9" s="25" t="n">
        <f aca="false">COUNTIFS('Risk Register'!$I$5:$I$84,3,'Risk Register'!$J$5:$J$84,1,'Risk Register'!$Y$5:$Y$84,"&lt;&gt;Closed")</f>
        <v>0</v>
      </c>
      <c r="D9" s="22" t="n">
        <f aca="false">COUNTIFS('Risk Register'!$I$5:$I$84,3,'Risk Register'!$J$5:$J$84,2,'Risk Register'!$Y$5:$Y$84,"&lt;&gt;Closed")</f>
        <v>0</v>
      </c>
      <c r="E9" s="22" t="n">
        <f aca="false">COUNTIFS('Risk Register'!$I$5:$I$84,3,'Risk Register'!$J$5:$J$84,3,'Risk Register'!$Y$5:$Y$84,"&lt;&gt;Closed")</f>
        <v>0</v>
      </c>
      <c r="F9" s="23" t="n">
        <f aca="false">COUNTIFS('Risk Register'!$I$5:$I$84,3,'Risk Register'!$J$5:$J$84,4,'Risk Register'!$Y$5:$Y$84,"&lt;&gt;Closed")</f>
        <v>1</v>
      </c>
      <c r="G9" s="23" t="n">
        <f aca="false">COUNTIFS('Risk Register'!$I$5:$I$84,3,'Risk Register'!$J$5:$J$84,5,'Risk Register'!$Y$5:$Y$84,"&lt;&gt;Closed")</f>
        <v>0</v>
      </c>
      <c r="J9" s="21" t="n">
        <v>3</v>
      </c>
      <c r="K9" s="25" t="n">
        <f aca="false">COUNTIFS('Risk Register'!$R$5:$R$84,3,'Risk Register'!$S$5:$S$84,1,'Risk Register'!$Y$5:$Y$84,"&lt;&gt;Closed")</f>
        <v>0</v>
      </c>
      <c r="L9" s="22" t="n">
        <f aca="false">COUNTIFS('Risk Register'!$R$5:$R$84,3,'Risk Register'!$S$5:$S$84,2,'Risk Register'!$Y$5:$Y$84,"&lt;&gt;Closed")</f>
        <v>0</v>
      </c>
      <c r="M9" s="22" t="n">
        <f aca="false">COUNTIFS('Risk Register'!$R$5:$R$84,3,'Risk Register'!$S$5:$S$84,3,'Risk Register'!$Y$5:$Y$84,"&lt;&gt;Closed")</f>
        <v>1</v>
      </c>
      <c r="N9" s="23" t="n">
        <f aca="false">COUNTIFS('Risk Register'!$R$5:$R$84,3,'Risk Register'!$S$5:$S$84,4,'Risk Register'!$Y$5:$Y$84,"&lt;&gt;Closed")</f>
        <v>0</v>
      </c>
      <c r="O9" s="23" t="n">
        <f aca="false">COUNTIFS('Risk Register'!$R$5:$R$84,3,'Risk Register'!$S$5:$S$84,5,'Risk Register'!$Y$5:$Y$84,"&lt;&gt;Closed")</f>
        <v>0</v>
      </c>
    </row>
    <row r="10" customFormat="false" ht="39.75" hidden="false" customHeight="true" outlineLevel="0" collapsed="false">
      <c r="B10" s="21" t="n">
        <v>2</v>
      </c>
      <c r="C10" s="25" t="n">
        <f aca="false">COUNTIFS('Risk Register'!$I$5:$I$84,2,'Risk Register'!$J$5:$J$84,1,'Risk Register'!$Y$5:$Y$84,"&lt;&gt;Closed")</f>
        <v>0</v>
      </c>
      <c r="D10" s="25" t="n">
        <f aca="false">COUNTIFS('Risk Register'!$I$5:$I$84,2,'Risk Register'!$J$5:$J$84,2,'Risk Register'!$Y$5:$Y$84,"&lt;&gt;Closed")</f>
        <v>0</v>
      </c>
      <c r="E10" s="22" t="n">
        <f aca="false">COUNTIFS('Risk Register'!$I$5:$I$84,2,'Risk Register'!$J$5:$J$84,3,'Risk Register'!$Y$5:$Y$84,"&lt;&gt;Closed")</f>
        <v>1</v>
      </c>
      <c r="F10" s="22" t="n">
        <f aca="false">COUNTIFS('Risk Register'!$I$5:$I$84,2,'Risk Register'!$J$5:$J$84,4,'Risk Register'!$Y$5:$Y$84,"&lt;&gt;Closed")</f>
        <v>0</v>
      </c>
      <c r="G10" s="23" t="n">
        <f aca="false">COUNTIFS('Risk Register'!$I$5:$I$84,2,'Risk Register'!$J$5:$J$84,5,'Risk Register'!$Y$5:$Y$84,"&lt;&gt;Closed")</f>
        <v>0</v>
      </c>
      <c r="J10" s="21" t="n">
        <v>2</v>
      </c>
      <c r="K10" s="25" t="n">
        <f aca="false">COUNTIFS('Risk Register'!$R$5:$R$84,2,'Risk Register'!$S$5:$S$84,1,'Risk Register'!$Y$5:$Y$84,"&lt;&gt;Closed")</f>
        <v>0</v>
      </c>
      <c r="L10" s="25" t="n">
        <f aca="false">COUNTIFS('Risk Register'!$R$5:$R$84,2,'Risk Register'!$S$5:$S$84,2,'Risk Register'!$Y$5:$Y$84,"&lt;&gt;Closed")</f>
        <v>0</v>
      </c>
      <c r="M10" s="22" t="n">
        <f aca="false">COUNTIFS('Risk Register'!$R$5:$R$84,2,'Risk Register'!$S$5:$S$84,3,'Risk Register'!$Y$5:$Y$84,"&lt;&gt;Closed")</f>
        <v>1</v>
      </c>
      <c r="N10" s="22" t="n">
        <f aca="false">COUNTIFS('Risk Register'!$R$5:$R$84,2,'Risk Register'!$S$5:$S$84,4,'Risk Register'!$Y$5:$Y$84,"&lt;&gt;Closed")</f>
        <v>0</v>
      </c>
      <c r="O10" s="23" t="n">
        <f aca="false">COUNTIFS('Risk Register'!$R$5:$R$84,2,'Risk Register'!$S$5:$S$84,5,'Risk Register'!$Y$5:$Y$84,"&lt;&gt;Closed")</f>
        <v>0</v>
      </c>
    </row>
    <row r="11" customFormat="false" ht="39.75" hidden="false" customHeight="true" outlineLevel="0" collapsed="false">
      <c r="B11" s="21" t="n">
        <v>1</v>
      </c>
      <c r="C11" s="25" t="n">
        <f aca="false">COUNTIFS('Risk Register'!$I$5:$I$84,1,'Risk Register'!$J$5:$J$84,1,'Risk Register'!$Y$5:$Y$84,"&lt;&gt;Closed")</f>
        <v>0</v>
      </c>
      <c r="D11" s="25" t="n">
        <f aca="false">COUNTIFS('Risk Register'!$I$5:$I$84,1,'Risk Register'!$J$5:$J$84,2,'Risk Register'!$Y$5:$Y$84,"&lt;&gt;Closed")</f>
        <v>0</v>
      </c>
      <c r="E11" s="25" t="n">
        <f aca="false">COUNTIFS('Risk Register'!$I$5:$I$84,1,'Risk Register'!$J$5:$J$84,3,'Risk Register'!$Y$5:$Y$84,"&lt;&gt;Closed")</f>
        <v>0</v>
      </c>
      <c r="F11" s="25" t="n">
        <f aca="false">COUNTIFS('Risk Register'!$I$5:$I$84,1,'Risk Register'!$J$5:$J$84,4,'Risk Register'!$Y$5:$Y$84,"&lt;&gt;Closed")</f>
        <v>0</v>
      </c>
      <c r="G11" s="22" t="n">
        <f aca="false">COUNTIFS('Risk Register'!$I$5:$I$84,1,'Risk Register'!$J$5:$J$84,5,'Risk Register'!$Y$5:$Y$84,"&lt;&gt;Closed")</f>
        <v>0</v>
      </c>
      <c r="J11" s="21" t="n">
        <v>1</v>
      </c>
      <c r="K11" s="25" t="n">
        <f aca="false">COUNTIFS('Risk Register'!$R$5:$R$84,1,'Risk Register'!$S$5:$S$84,1,'Risk Register'!$Y$5:$Y$84,"&lt;&gt;Closed")</f>
        <v>0</v>
      </c>
      <c r="L11" s="25" t="n">
        <f aca="false">COUNTIFS('Risk Register'!$R$5:$R$84,1,'Risk Register'!$S$5:$S$84,2,'Risk Register'!$Y$5:$Y$84,"&lt;&gt;Closed")</f>
        <v>0</v>
      </c>
      <c r="M11" s="25" t="n">
        <f aca="false">COUNTIFS('Risk Register'!$R$5:$R$84,1,'Risk Register'!$S$5:$S$84,3,'Risk Register'!$Y$5:$Y$84,"&lt;&gt;Closed")</f>
        <v>0</v>
      </c>
      <c r="N11" s="25" t="n">
        <f aca="false">COUNTIFS('Risk Register'!$R$5:$R$84,1,'Risk Register'!$S$5:$S$84,4,'Risk Register'!$Y$5:$Y$84,"&lt;&gt;Closed")</f>
        <v>0</v>
      </c>
      <c r="O11" s="22" t="n">
        <f aca="false">COUNTIFS('Risk Register'!$R$5:$R$84,1,'Risk Register'!$S$5:$S$84,5,'Risk Register'!$Y$5:$Y$84,"&lt;&gt;Closed")</f>
        <v>0</v>
      </c>
    </row>
    <row r="14" customFormat="false" ht="15" hidden="false" customHeight="false" outlineLevel="0" collapsed="false">
      <c r="B14" s="4" t="s">
        <v>70</v>
      </c>
    </row>
    <row r="15" customFormat="false" ht="15" hidden="false" customHeight="false" outlineLevel="0" collapsed="false">
      <c r="B15" s="9" t="s">
        <v>71</v>
      </c>
      <c r="C15" s="9" t="s">
        <v>72</v>
      </c>
      <c r="D15" s="9" t="s">
        <v>73</v>
      </c>
      <c r="E15" s="9" t="s">
        <v>74</v>
      </c>
      <c r="F15" s="9"/>
      <c r="G15" s="9"/>
      <c r="H15" s="9"/>
      <c r="I15" s="9"/>
    </row>
    <row r="16" customFormat="false" ht="15" hidden="false" customHeight="false" outlineLevel="0" collapsed="false">
      <c r="B16" s="26" t="s">
        <v>75</v>
      </c>
      <c r="C16" s="27" t="n">
        <f aca="false">COUNTIFS('Risk Register'!$L$5:$L$84,"Critical",'Risk Register'!$Y$5:$Y$84,"&lt;&gt;Closed")</f>
        <v>0</v>
      </c>
      <c r="D16" s="27" t="n">
        <f aca="false">COUNTIFS('Risk Register'!$U$5:$U$84,"Critical",'Risk Register'!$Y$5:$Y$84,"&lt;&gt;Closed")</f>
        <v>0</v>
      </c>
      <c r="E16" s="28" t="s">
        <v>76</v>
      </c>
      <c r="F16" s="28"/>
      <c r="G16" s="28"/>
      <c r="H16" s="28"/>
      <c r="I16" s="28"/>
    </row>
    <row r="17" customFormat="false" ht="15" hidden="false" customHeight="false" outlineLevel="0" collapsed="false">
      <c r="B17" s="26" t="s">
        <v>77</v>
      </c>
      <c r="C17" s="27" t="n">
        <f aca="false">COUNTIFS('Risk Register'!$L$5:$L$84,"High",'Risk Register'!$Y$5:$Y$84,"&lt;&gt;Closed")</f>
        <v>1</v>
      </c>
      <c r="D17" s="27" t="n">
        <f aca="false">COUNTIFS('Risk Register'!$U$5:$U$84,"High",'Risk Register'!$Y$5:$Y$84,"&lt;&gt;Closed")</f>
        <v>0</v>
      </c>
      <c r="E17" s="28" t="s">
        <v>78</v>
      </c>
      <c r="F17" s="28"/>
      <c r="G17" s="28"/>
      <c r="H17" s="28"/>
      <c r="I17" s="28"/>
    </row>
    <row r="18" customFormat="false" ht="15" hidden="false" customHeight="false" outlineLevel="0" collapsed="false">
      <c r="B18" s="26" t="s">
        <v>79</v>
      </c>
      <c r="C18" s="27" t="n">
        <f aca="false">COUNTIFS('Risk Register'!$L$5:$L$84,"Medium",'Risk Register'!$Y$5:$Y$84,"&lt;&gt;Closed")</f>
        <v>1</v>
      </c>
      <c r="D18" s="27" t="n">
        <f aca="false">COUNTIFS('Risk Register'!$U$5:$U$84,"Medium",'Risk Register'!$Y$5:$Y$84,"&lt;&gt;Closed")</f>
        <v>2</v>
      </c>
      <c r="E18" s="28" t="s">
        <v>80</v>
      </c>
      <c r="F18" s="28"/>
      <c r="G18" s="28"/>
      <c r="H18" s="28"/>
      <c r="I18" s="28"/>
    </row>
    <row r="19" customFormat="false" ht="15" hidden="false" customHeight="false" outlineLevel="0" collapsed="false">
      <c r="B19" s="26" t="s">
        <v>81</v>
      </c>
      <c r="C19" s="27" t="n">
        <f aca="false">COUNTIFS('Risk Register'!$L$5:$L$84,"Low",'Risk Register'!$Y$5:$Y$84,"&lt;&gt;Closed")</f>
        <v>0</v>
      </c>
      <c r="D19" s="27" t="n">
        <f aca="false">COUNTIFS('Risk Register'!$U$5:$U$84,"Low",'Risk Register'!$Y$5:$Y$84,"&lt;&gt;Closed")</f>
        <v>0</v>
      </c>
      <c r="E19" s="28" t="s">
        <v>82</v>
      </c>
      <c r="F19" s="28"/>
      <c r="G19" s="28"/>
      <c r="H19" s="28"/>
      <c r="I19" s="28"/>
    </row>
    <row r="21" customFormat="false" ht="15" hidden="false" customHeight="false" outlineLevel="0" collapsed="false">
      <c r="B21" s="29" t="s">
        <v>83</v>
      </c>
      <c r="G21" s="30" t="n">
        <f aca="false">SUMIFS('Risk Register'!$X$5:$X$84,'Risk Register'!$Y$5:$Y$84,"&lt;&gt;Closed")</f>
        <v>12500</v>
      </c>
    </row>
  </sheetData>
  <mergeCells count="7">
    <mergeCell ref="A1:O1"/>
    <mergeCell ref="A2:O2"/>
    <mergeCell ref="E15:I15"/>
    <mergeCell ref="E16:I16"/>
    <mergeCell ref="E17:I17"/>
    <mergeCell ref="E18:I18"/>
    <mergeCell ref="E19:I19"/>
  </mergeCells>
  <conditionalFormatting sqref="B16:B19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6" t="s">
        <v>84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</row>
    <row r="3" customFormat="false" ht="6" hidden="false" customHeight="true" outlineLevel="0" collapsed="false"/>
    <row r="4" customFormat="false" ht="15" hidden="false" customHeight="false" outlineLevel="0" collapsed="false">
      <c r="A4" s="9" t="s">
        <v>85</v>
      </c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</row>
    <row r="5" customFormat="false" ht="15" hidden="false" customHeight="false" outlineLevel="0" collapsed="false">
      <c r="A5" s="31" t="n">
        <v>5</v>
      </c>
      <c r="B5" s="31" t="s">
        <v>91</v>
      </c>
      <c r="C5" s="31" t="s">
        <v>92</v>
      </c>
      <c r="D5" s="31" t="s">
        <v>93</v>
      </c>
      <c r="E5" s="31" t="s">
        <v>94</v>
      </c>
      <c r="F5" s="31" t="s">
        <v>95</v>
      </c>
    </row>
    <row r="6" customFormat="false" ht="15" hidden="false" customHeight="false" outlineLevel="0" collapsed="false">
      <c r="A6" s="31" t="n">
        <v>4</v>
      </c>
      <c r="B6" s="31" t="s">
        <v>96</v>
      </c>
      <c r="C6" s="31" t="s">
        <v>97</v>
      </c>
      <c r="D6" s="31" t="s">
        <v>97</v>
      </c>
      <c r="E6" s="31" t="s">
        <v>98</v>
      </c>
      <c r="F6" s="31" t="s">
        <v>99</v>
      </c>
    </row>
    <row r="7" customFormat="false" ht="15" hidden="false" customHeight="false" outlineLevel="0" collapsed="false">
      <c r="A7" s="31" t="n">
        <v>3</v>
      </c>
      <c r="B7" s="31" t="s">
        <v>100</v>
      </c>
      <c r="C7" s="31" t="s">
        <v>101</v>
      </c>
      <c r="D7" s="31" t="s">
        <v>101</v>
      </c>
      <c r="E7" s="31" t="s">
        <v>102</v>
      </c>
      <c r="F7" s="31" t="s">
        <v>103</v>
      </c>
    </row>
    <row r="8" customFormat="false" ht="15" hidden="false" customHeight="false" outlineLevel="0" collapsed="false">
      <c r="A8" s="31" t="n">
        <v>2</v>
      </c>
      <c r="B8" s="31" t="s">
        <v>104</v>
      </c>
      <c r="C8" s="31" t="s">
        <v>105</v>
      </c>
      <c r="D8" s="31" t="s">
        <v>105</v>
      </c>
      <c r="E8" s="31" t="s">
        <v>106</v>
      </c>
      <c r="F8" s="31" t="s">
        <v>107</v>
      </c>
    </row>
    <row r="9" customFormat="false" ht="15" hidden="false" customHeight="false" outlineLevel="0" collapsed="false">
      <c r="A9" s="31" t="n">
        <v>1</v>
      </c>
      <c r="B9" s="31" t="s">
        <v>108</v>
      </c>
      <c r="C9" s="31" t="s">
        <v>109</v>
      </c>
      <c r="D9" s="31" t="s">
        <v>109</v>
      </c>
      <c r="E9" s="31" t="s">
        <v>110</v>
      </c>
      <c r="F9" s="31" t="s">
        <v>111</v>
      </c>
    </row>
    <row r="11" customFormat="false" ht="15" hidden="false" customHeight="false" outlineLevel="0" collapsed="false">
      <c r="A11" s="32" t="s">
        <v>112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Z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11" min="9" style="0" width="7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3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9" min="18" style="0" width="7"/>
    <col collapsed="false" customWidth="true" hidden="false" outlineLevel="0" max="20" min="20" style="0" width="8"/>
    <col collapsed="false" customWidth="true" hidden="false" outlineLevel="0" max="21" min="21" style="0" width="10"/>
    <col collapsed="false" customWidth="true" hidden="false" outlineLevel="0" max="22" min="22" style="0" width="24"/>
    <col collapsed="false" customWidth="true" hidden="false" outlineLevel="0" max="24" min="23" style="0" width="12"/>
    <col collapsed="false" customWidth="true" hidden="false" outlineLevel="0" max="26" min="25" style="0" width="11"/>
  </cols>
  <sheetData>
    <row r="1" customFormat="false" ht="25.5" hidden="false" customHeight="true" outlineLevel="0" collapsed="false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customFormat="false" ht="6" hidden="false" customHeight="true" outlineLevel="0" collapsed="false"/>
    <row r="4" customFormat="false" ht="33.75" hidden="false" customHeight="true" outlineLevel="0" collapsed="false">
      <c r="A4" s="33" t="s">
        <v>114</v>
      </c>
      <c r="B4" s="33" t="s">
        <v>115</v>
      </c>
      <c r="C4" s="33" t="s">
        <v>116</v>
      </c>
      <c r="D4" s="33" t="s">
        <v>117</v>
      </c>
      <c r="E4" s="33" t="s">
        <v>118</v>
      </c>
      <c r="F4" s="33" t="s">
        <v>119</v>
      </c>
      <c r="G4" s="33" t="s">
        <v>120</v>
      </c>
      <c r="H4" s="33" t="s">
        <v>121</v>
      </c>
      <c r="I4" s="33" t="s">
        <v>122</v>
      </c>
      <c r="J4" s="33" t="s">
        <v>123</v>
      </c>
      <c r="K4" s="34" t="s">
        <v>124</v>
      </c>
      <c r="L4" s="34" t="s">
        <v>125</v>
      </c>
      <c r="M4" s="33" t="s">
        <v>126</v>
      </c>
      <c r="N4" s="33" t="s">
        <v>127</v>
      </c>
      <c r="O4" s="33" t="s">
        <v>128</v>
      </c>
      <c r="P4" s="33" t="s">
        <v>129</v>
      </c>
      <c r="Q4" s="33" t="s">
        <v>130</v>
      </c>
      <c r="R4" s="33" t="s">
        <v>131</v>
      </c>
      <c r="S4" s="33" t="s">
        <v>132</v>
      </c>
      <c r="T4" s="34" t="s">
        <v>133</v>
      </c>
      <c r="U4" s="34" t="s">
        <v>134</v>
      </c>
      <c r="V4" s="33" t="s">
        <v>135</v>
      </c>
      <c r="W4" s="33" t="s">
        <v>136</v>
      </c>
      <c r="X4" s="34" t="s">
        <v>137</v>
      </c>
      <c r="Y4" s="33" t="s">
        <v>22</v>
      </c>
      <c r="Z4" s="33" t="s">
        <v>138</v>
      </c>
    </row>
    <row r="5" customFormat="false" ht="23.85" hidden="false" customHeight="false" outlineLevel="0" collapsed="false">
      <c r="A5" s="35" t="s">
        <v>139</v>
      </c>
      <c r="B5" s="36" t="n">
        <v>46315</v>
      </c>
      <c r="C5" s="35" t="s">
        <v>140</v>
      </c>
      <c r="D5" s="35" t="s">
        <v>141</v>
      </c>
      <c r="E5" s="35" t="s">
        <v>142</v>
      </c>
      <c r="F5" s="35" t="s">
        <v>143</v>
      </c>
      <c r="G5" s="35" t="s">
        <v>144</v>
      </c>
      <c r="H5" s="35" t="s">
        <v>145</v>
      </c>
      <c r="I5" s="37" t="n">
        <v>3</v>
      </c>
      <c r="J5" s="37" t="n">
        <v>4</v>
      </c>
      <c r="K5" s="38" t="n">
        <f aca="false">IF(OR(I5="",J5=""),"",I5*J5)</f>
        <v>12</v>
      </c>
      <c r="L5" s="39" t="str">
        <f aca="false">IF(K5="","",IF(K5&gt;=16,"Critical",IF(K5&gt;=10,"High",IF(K5&gt;=5,"Medium","Low"))))</f>
        <v>High</v>
      </c>
      <c r="M5" s="35" t="s">
        <v>146</v>
      </c>
      <c r="N5" s="35" t="s">
        <v>147</v>
      </c>
      <c r="O5" s="35" t="s">
        <v>148</v>
      </c>
      <c r="P5" s="35" t="s">
        <v>149</v>
      </c>
      <c r="Q5" s="36" t="n">
        <v>46357</v>
      </c>
      <c r="R5" s="37" t="n">
        <v>2</v>
      </c>
      <c r="S5" s="37" t="n">
        <v>3</v>
      </c>
      <c r="T5" s="38" t="n">
        <f aca="false">IF(OR(R5="",S5=""),"",R5*S5)</f>
        <v>6</v>
      </c>
      <c r="U5" s="39" t="str">
        <f aca="false">IF(T5="","",IF(T5&gt;=16,"Critical",IF(T5&gt;=10,"High",IF(T5&gt;=5,"Medium","Low"))))</f>
        <v>Medium</v>
      </c>
      <c r="V5" s="35" t="s">
        <v>150</v>
      </c>
      <c r="W5" s="40" t="n">
        <v>40000</v>
      </c>
      <c r="X5" s="41" t="n">
        <f aca="false">IF(OR(I5="",W5=""),"",CHOOSE(I5,0.1,0.3,0.5,0.7,0.9)*W5*IF(D5="Opportunity",-1,1))</f>
        <v>20000</v>
      </c>
      <c r="Y5" s="35" t="s">
        <v>151</v>
      </c>
      <c r="Z5" s="36" t="n">
        <v>46315</v>
      </c>
    </row>
    <row r="6" customFormat="false" ht="23.85" hidden="false" customHeight="false" outlineLevel="0" collapsed="false">
      <c r="A6" s="42" t="s">
        <v>152</v>
      </c>
      <c r="B6" s="43" t="n">
        <v>46315</v>
      </c>
      <c r="C6" s="42" t="s">
        <v>153</v>
      </c>
      <c r="D6" s="42" t="s">
        <v>154</v>
      </c>
      <c r="E6" s="42" t="s">
        <v>155</v>
      </c>
      <c r="F6" s="42" t="s">
        <v>156</v>
      </c>
      <c r="G6" s="42" t="s">
        <v>157</v>
      </c>
      <c r="H6" s="42" t="s">
        <v>158</v>
      </c>
      <c r="I6" s="44" t="n">
        <v>2</v>
      </c>
      <c r="J6" s="44" t="n">
        <v>3</v>
      </c>
      <c r="K6" s="38" t="n">
        <f aca="false">IF(OR(I6="",J6=""),"",I6*J6)</f>
        <v>6</v>
      </c>
      <c r="L6" s="39" t="str">
        <f aca="false">IF(K6="","",IF(K6&gt;=16,"Critical",IF(K6&gt;=10,"High",IF(K6&gt;=5,"Medium","Low"))))</f>
        <v>Medium</v>
      </c>
      <c r="M6" s="42" t="s">
        <v>159</v>
      </c>
      <c r="N6" s="42" t="s">
        <v>160</v>
      </c>
      <c r="O6" s="42" t="s">
        <v>161</v>
      </c>
      <c r="P6" s="42" t="s">
        <v>162</v>
      </c>
      <c r="Q6" s="43" t="n">
        <v>46402</v>
      </c>
      <c r="R6" s="44" t="n">
        <v>3</v>
      </c>
      <c r="S6" s="44" t="n">
        <v>3</v>
      </c>
      <c r="T6" s="38" t="n">
        <f aca="false">IF(OR(R6="",S6=""),"",R6*S6)</f>
        <v>9</v>
      </c>
      <c r="U6" s="39" t="str">
        <f aca="false">IF(T6="","",IF(T6&gt;=16,"Critical",IF(T6&gt;=10,"High",IF(T6&gt;=5,"Medium","Low"))))</f>
        <v>Medium</v>
      </c>
      <c r="V6" s="42"/>
      <c r="W6" s="45" t="n">
        <v>25000</v>
      </c>
      <c r="X6" s="41" t="n">
        <f aca="false">IF(OR(I6="",W6=""),"",CHOOSE(I6,0.1,0.3,0.5,0.7,0.9)*W6*IF(D6="Opportunity",-1,1))</f>
        <v>-7500</v>
      </c>
      <c r="Y6" s="42" t="s">
        <v>163</v>
      </c>
      <c r="Z6" s="43" t="n">
        <v>46315</v>
      </c>
    </row>
    <row r="7" customFormat="false" ht="15" hidden="false" customHeight="false" outlineLevel="0" collapsed="false">
      <c r="A7" s="46"/>
      <c r="B7" s="47"/>
      <c r="C7" s="46"/>
      <c r="D7" s="46"/>
      <c r="E7" s="46"/>
      <c r="F7" s="46"/>
      <c r="G7" s="46"/>
      <c r="H7" s="46"/>
      <c r="I7" s="48"/>
      <c r="J7" s="48"/>
      <c r="K7" s="38" t="str">
        <f aca="false">IF(OR(I7="",J7=""),"",I7*J7)</f>
        <v/>
      </c>
      <c r="L7" s="39" t="str">
        <f aca="false">IF(K7="","",IF(K7&gt;=16,"Critical",IF(K7&gt;=10,"High",IF(K7&gt;=5,"Medium","Low"))))</f>
        <v/>
      </c>
      <c r="M7" s="46"/>
      <c r="N7" s="46"/>
      <c r="O7" s="46"/>
      <c r="P7" s="46"/>
      <c r="Q7" s="47"/>
      <c r="R7" s="48"/>
      <c r="S7" s="48"/>
      <c r="T7" s="38" t="str">
        <f aca="false">IF(OR(R7="",S7=""),"",R7*S7)</f>
        <v/>
      </c>
      <c r="U7" s="39" t="str">
        <f aca="false">IF(T7="","",IF(T7&gt;=16,"Critical",IF(T7&gt;=10,"High",IF(T7&gt;=5,"Medium","Low"))))</f>
        <v/>
      </c>
      <c r="V7" s="46"/>
      <c r="W7" s="49"/>
      <c r="X7" s="41" t="str">
        <f aca="false">IF(OR(I7="",W7=""),"",CHOOSE(I7,0.1,0.3,0.5,0.7,0.9)*W7*IF(D7="Opportunity",-1,1))</f>
        <v/>
      </c>
      <c r="Y7" s="46"/>
      <c r="Z7" s="47"/>
    </row>
    <row r="8" customFormat="false" ht="15" hidden="false" customHeight="false" outlineLevel="0" collapsed="false">
      <c r="A8" s="50"/>
      <c r="B8" s="51"/>
      <c r="C8" s="50"/>
      <c r="D8" s="50"/>
      <c r="E8" s="50"/>
      <c r="F8" s="50"/>
      <c r="G8" s="50"/>
      <c r="H8" s="50"/>
      <c r="I8" s="52"/>
      <c r="J8" s="52"/>
      <c r="K8" s="38" t="str">
        <f aca="false">IF(OR(I8="",J8=""),"",I8*J8)</f>
        <v/>
      </c>
      <c r="L8" s="39" t="str">
        <f aca="false">IF(K8="","",IF(K8&gt;=16,"Critical",IF(K8&gt;=10,"High",IF(K8&gt;=5,"Medium","Low"))))</f>
        <v/>
      </c>
      <c r="M8" s="50"/>
      <c r="N8" s="50"/>
      <c r="O8" s="50"/>
      <c r="P8" s="50"/>
      <c r="Q8" s="51"/>
      <c r="R8" s="52"/>
      <c r="S8" s="52"/>
      <c r="T8" s="38" t="str">
        <f aca="false">IF(OR(R8="",S8=""),"",R8*S8)</f>
        <v/>
      </c>
      <c r="U8" s="39" t="str">
        <f aca="false">IF(T8="","",IF(T8&gt;=16,"Critical",IF(T8&gt;=10,"High",IF(T8&gt;=5,"Medium","Low"))))</f>
        <v/>
      </c>
      <c r="V8" s="50"/>
      <c r="W8" s="53"/>
      <c r="X8" s="41" t="str">
        <f aca="false">IF(OR(I8="",W8=""),"",CHOOSE(I8,0.1,0.3,0.5,0.7,0.9)*W8*IF(D8="Opportunity",-1,1))</f>
        <v/>
      </c>
      <c r="Y8" s="50"/>
      <c r="Z8" s="51"/>
    </row>
    <row r="9" customFormat="false" ht="15" hidden="false" customHeight="false" outlineLevel="0" collapsed="false">
      <c r="A9" s="46"/>
      <c r="B9" s="47"/>
      <c r="C9" s="46"/>
      <c r="D9" s="46"/>
      <c r="E9" s="46"/>
      <c r="F9" s="46"/>
      <c r="G9" s="46"/>
      <c r="H9" s="46"/>
      <c r="I9" s="48"/>
      <c r="J9" s="48"/>
      <c r="K9" s="38" t="str">
        <f aca="false">IF(OR(I9="",J9=""),"",I9*J9)</f>
        <v/>
      </c>
      <c r="L9" s="39" t="str">
        <f aca="false">IF(K9="","",IF(K9&gt;=16,"Critical",IF(K9&gt;=10,"High",IF(K9&gt;=5,"Medium","Low"))))</f>
        <v/>
      </c>
      <c r="M9" s="46"/>
      <c r="N9" s="46"/>
      <c r="O9" s="46"/>
      <c r="P9" s="46"/>
      <c r="Q9" s="47"/>
      <c r="R9" s="48"/>
      <c r="S9" s="48"/>
      <c r="T9" s="38" t="str">
        <f aca="false">IF(OR(R9="",S9=""),"",R9*S9)</f>
        <v/>
      </c>
      <c r="U9" s="39" t="str">
        <f aca="false">IF(T9="","",IF(T9&gt;=16,"Critical",IF(T9&gt;=10,"High",IF(T9&gt;=5,"Medium","Low"))))</f>
        <v/>
      </c>
      <c r="V9" s="46"/>
      <c r="W9" s="49"/>
      <c r="X9" s="41" t="str">
        <f aca="false">IF(OR(I9="",W9=""),"",CHOOSE(I9,0.1,0.3,0.5,0.7,0.9)*W9*IF(D9="Opportunity",-1,1))</f>
        <v/>
      </c>
      <c r="Y9" s="46"/>
      <c r="Z9" s="47"/>
    </row>
    <row r="10" customFormat="false" ht="15" hidden="false" customHeight="false" outlineLevel="0" collapsed="false">
      <c r="A10" s="50"/>
      <c r="B10" s="51"/>
      <c r="C10" s="50"/>
      <c r="D10" s="50"/>
      <c r="E10" s="50"/>
      <c r="F10" s="50"/>
      <c r="G10" s="50"/>
      <c r="H10" s="50"/>
      <c r="I10" s="52"/>
      <c r="J10" s="52"/>
      <c r="K10" s="38" t="str">
        <f aca="false">IF(OR(I10="",J10=""),"",I10*J10)</f>
        <v/>
      </c>
      <c r="L10" s="39" t="str">
        <f aca="false">IF(K10="","",IF(K10&gt;=16,"Critical",IF(K10&gt;=10,"High",IF(K10&gt;=5,"Medium","Low"))))</f>
        <v/>
      </c>
      <c r="M10" s="50"/>
      <c r="N10" s="50"/>
      <c r="O10" s="50"/>
      <c r="P10" s="50"/>
      <c r="Q10" s="51"/>
      <c r="R10" s="52"/>
      <c r="S10" s="52"/>
      <c r="T10" s="38" t="str">
        <f aca="false">IF(OR(R10="",S10=""),"",R10*S10)</f>
        <v/>
      </c>
      <c r="U10" s="39" t="str">
        <f aca="false">IF(T10="","",IF(T10&gt;=16,"Critical",IF(T10&gt;=10,"High",IF(T10&gt;=5,"Medium","Low"))))</f>
        <v/>
      </c>
      <c r="V10" s="50"/>
      <c r="W10" s="53"/>
      <c r="X10" s="41" t="str">
        <f aca="false">IF(OR(I10="",W10=""),"",CHOOSE(I10,0.1,0.3,0.5,0.7,0.9)*W10*IF(D10="Opportunity",-1,1))</f>
        <v/>
      </c>
      <c r="Y10" s="50"/>
      <c r="Z10" s="51"/>
    </row>
    <row r="11" customFormat="false" ht="15" hidden="false" customHeight="false" outlineLevel="0" collapsed="false">
      <c r="A11" s="46"/>
      <c r="B11" s="47"/>
      <c r="C11" s="46"/>
      <c r="D11" s="46"/>
      <c r="E11" s="46"/>
      <c r="F11" s="46"/>
      <c r="G11" s="46"/>
      <c r="H11" s="46"/>
      <c r="I11" s="48"/>
      <c r="J11" s="48"/>
      <c r="K11" s="38" t="str">
        <f aca="false">IF(OR(I11="",J11=""),"",I11*J11)</f>
        <v/>
      </c>
      <c r="L11" s="39" t="str">
        <f aca="false">IF(K11="","",IF(K11&gt;=16,"Critical",IF(K11&gt;=10,"High",IF(K11&gt;=5,"Medium","Low"))))</f>
        <v/>
      </c>
      <c r="M11" s="46"/>
      <c r="N11" s="46"/>
      <c r="O11" s="46"/>
      <c r="P11" s="46"/>
      <c r="Q11" s="47"/>
      <c r="R11" s="48"/>
      <c r="S11" s="48"/>
      <c r="T11" s="38" t="str">
        <f aca="false">IF(OR(R11="",S11=""),"",R11*S11)</f>
        <v/>
      </c>
      <c r="U11" s="39" t="str">
        <f aca="false">IF(T11="","",IF(T11&gt;=16,"Critical",IF(T11&gt;=10,"High",IF(T11&gt;=5,"Medium","Low"))))</f>
        <v/>
      </c>
      <c r="V11" s="46"/>
      <c r="W11" s="49"/>
      <c r="X11" s="41" t="str">
        <f aca="false">IF(OR(I11="",W11=""),"",CHOOSE(I11,0.1,0.3,0.5,0.7,0.9)*W11*IF(D11="Opportunity",-1,1))</f>
        <v/>
      </c>
      <c r="Y11" s="46"/>
      <c r="Z11" s="47"/>
    </row>
    <row r="12" customFormat="false" ht="15" hidden="false" customHeight="false" outlineLevel="0" collapsed="false">
      <c r="A12" s="50"/>
      <c r="B12" s="51"/>
      <c r="C12" s="50"/>
      <c r="D12" s="50"/>
      <c r="E12" s="50"/>
      <c r="F12" s="50"/>
      <c r="G12" s="50"/>
      <c r="H12" s="50"/>
      <c r="I12" s="52"/>
      <c r="J12" s="52"/>
      <c r="K12" s="38" t="str">
        <f aca="false">IF(OR(I12="",J12=""),"",I12*J12)</f>
        <v/>
      </c>
      <c r="L12" s="39" t="str">
        <f aca="false">IF(K12="","",IF(K12&gt;=16,"Critical",IF(K12&gt;=10,"High",IF(K12&gt;=5,"Medium","Low"))))</f>
        <v/>
      </c>
      <c r="M12" s="50"/>
      <c r="N12" s="50"/>
      <c r="O12" s="50"/>
      <c r="P12" s="50"/>
      <c r="Q12" s="51"/>
      <c r="R12" s="52"/>
      <c r="S12" s="52"/>
      <c r="T12" s="38" t="str">
        <f aca="false">IF(OR(R12="",S12=""),"",R12*S12)</f>
        <v/>
      </c>
      <c r="U12" s="39" t="str">
        <f aca="false">IF(T12="","",IF(T12&gt;=16,"Critical",IF(T12&gt;=10,"High",IF(T12&gt;=5,"Medium","Low"))))</f>
        <v/>
      </c>
      <c r="V12" s="50"/>
      <c r="W12" s="53"/>
      <c r="X12" s="41" t="str">
        <f aca="false">IF(OR(I12="",W12=""),"",CHOOSE(I12,0.1,0.3,0.5,0.7,0.9)*W12*IF(D12="Opportunity",-1,1))</f>
        <v/>
      </c>
      <c r="Y12" s="50"/>
      <c r="Z12" s="51"/>
    </row>
    <row r="13" customFormat="false" ht="15" hidden="false" customHeight="false" outlineLevel="0" collapsed="false">
      <c r="A13" s="46"/>
      <c r="B13" s="47"/>
      <c r="C13" s="46"/>
      <c r="D13" s="46"/>
      <c r="E13" s="46"/>
      <c r="F13" s="46"/>
      <c r="G13" s="46"/>
      <c r="H13" s="46"/>
      <c r="I13" s="48"/>
      <c r="J13" s="48"/>
      <c r="K13" s="38" t="str">
        <f aca="false">IF(OR(I13="",J13=""),"",I13*J13)</f>
        <v/>
      </c>
      <c r="L13" s="39" t="str">
        <f aca="false">IF(K13="","",IF(K13&gt;=16,"Critical",IF(K13&gt;=10,"High",IF(K13&gt;=5,"Medium","Low"))))</f>
        <v/>
      </c>
      <c r="M13" s="46"/>
      <c r="N13" s="46"/>
      <c r="O13" s="46"/>
      <c r="P13" s="46"/>
      <c r="Q13" s="47"/>
      <c r="R13" s="48"/>
      <c r="S13" s="48"/>
      <c r="T13" s="38" t="str">
        <f aca="false">IF(OR(R13="",S13=""),"",R13*S13)</f>
        <v/>
      </c>
      <c r="U13" s="39" t="str">
        <f aca="false">IF(T13="","",IF(T13&gt;=16,"Critical",IF(T13&gt;=10,"High",IF(T13&gt;=5,"Medium","Low"))))</f>
        <v/>
      </c>
      <c r="V13" s="46"/>
      <c r="W13" s="49"/>
      <c r="X13" s="41" t="str">
        <f aca="false">IF(OR(I13="",W13=""),"",CHOOSE(I13,0.1,0.3,0.5,0.7,0.9)*W13*IF(D13="Opportunity",-1,1))</f>
        <v/>
      </c>
      <c r="Y13" s="46"/>
      <c r="Z13" s="47"/>
    </row>
    <row r="14" customFormat="false" ht="15" hidden="false" customHeight="false" outlineLevel="0" collapsed="false">
      <c r="A14" s="50"/>
      <c r="B14" s="51"/>
      <c r="C14" s="50"/>
      <c r="D14" s="50"/>
      <c r="E14" s="50"/>
      <c r="F14" s="50"/>
      <c r="G14" s="50"/>
      <c r="H14" s="50"/>
      <c r="I14" s="52"/>
      <c r="J14" s="52"/>
      <c r="K14" s="38" t="str">
        <f aca="false">IF(OR(I14="",J14=""),"",I14*J14)</f>
        <v/>
      </c>
      <c r="L14" s="39" t="str">
        <f aca="false">IF(K14="","",IF(K14&gt;=16,"Critical",IF(K14&gt;=10,"High",IF(K14&gt;=5,"Medium","Low"))))</f>
        <v/>
      </c>
      <c r="M14" s="50"/>
      <c r="N14" s="50"/>
      <c r="O14" s="50"/>
      <c r="P14" s="50"/>
      <c r="Q14" s="51"/>
      <c r="R14" s="52"/>
      <c r="S14" s="52"/>
      <c r="T14" s="38" t="str">
        <f aca="false">IF(OR(R14="",S14=""),"",R14*S14)</f>
        <v/>
      </c>
      <c r="U14" s="39" t="str">
        <f aca="false">IF(T14="","",IF(T14&gt;=16,"Critical",IF(T14&gt;=10,"High",IF(T14&gt;=5,"Medium","Low"))))</f>
        <v/>
      </c>
      <c r="V14" s="50"/>
      <c r="W14" s="53"/>
      <c r="X14" s="41" t="str">
        <f aca="false">IF(OR(I14="",W14=""),"",CHOOSE(I14,0.1,0.3,0.5,0.7,0.9)*W14*IF(D14="Opportunity",-1,1))</f>
        <v/>
      </c>
      <c r="Y14" s="50"/>
      <c r="Z14" s="51"/>
    </row>
    <row r="15" customFormat="false" ht="15" hidden="false" customHeight="false" outlineLevel="0" collapsed="false">
      <c r="A15" s="46"/>
      <c r="B15" s="47"/>
      <c r="C15" s="46"/>
      <c r="D15" s="46"/>
      <c r="E15" s="46"/>
      <c r="F15" s="46"/>
      <c r="G15" s="46"/>
      <c r="H15" s="46"/>
      <c r="I15" s="48"/>
      <c r="J15" s="48"/>
      <c r="K15" s="38" t="str">
        <f aca="false">IF(OR(I15="",J15=""),"",I15*J15)</f>
        <v/>
      </c>
      <c r="L15" s="39" t="str">
        <f aca="false">IF(K15="","",IF(K15&gt;=16,"Critical",IF(K15&gt;=10,"High",IF(K15&gt;=5,"Medium","Low"))))</f>
        <v/>
      </c>
      <c r="M15" s="46"/>
      <c r="N15" s="46"/>
      <c r="O15" s="46"/>
      <c r="P15" s="46"/>
      <c r="Q15" s="47"/>
      <c r="R15" s="48"/>
      <c r="S15" s="48"/>
      <c r="T15" s="38" t="str">
        <f aca="false">IF(OR(R15="",S15=""),"",R15*S15)</f>
        <v/>
      </c>
      <c r="U15" s="39" t="str">
        <f aca="false">IF(T15="","",IF(T15&gt;=16,"Critical",IF(T15&gt;=10,"High",IF(T15&gt;=5,"Medium","Low"))))</f>
        <v/>
      </c>
      <c r="V15" s="46"/>
      <c r="W15" s="49"/>
      <c r="X15" s="41" t="str">
        <f aca="false">IF(OR(I15="",W15=""),"",CHOOSE(I15,0.1,0.3,0.5,0.7,0.9)*W15*IF(D15="Opportunity",-1,1))</f>
        <v/>
      </c>
      <c r="Y15" s="46"/>
      <c r="Z15" s="47"/>
    </row>
    <row r="16" customFormat="false" ht="15" hidden="false" customHeight="false" outlineLevel="0" collapsed="false">
      <c r="A16" s="50"/>
      <c r="B16" s="51"/>
      <c r="C16" s="50"/>
      <c r="D16" s="50"/>
      <c r="E16" s="50"/>
      <c r="F16" s="50"/>
      <c r="G16" s="50"/>
      <c r="H16" s="50"/>
      <c r="I16" s="52"/>
      <c r="J16" s="52"/>
      <c r="K16" s="38" t="str">
        <f aca="false">IF(OR(I16="",J16=""),"",I16*J16)</f>
        <v/>
      </c>
      <c r="L16" s="39" t="str">
        <f aca="false">IF(K16="","",IF(K16&gt;=16,"Critical",IF(K16&gt;=10,"High",IF(K16&gt;=5,"Medium","Low"))))</f>
        <v/>
      </c>
      <c r="M16" s="50"/>
      <c r="N16" s="50"/>
      <c r="O16" s="50"/>
      <c r="P16" s="50"/>
      <c r="Q16" s="51"/>
      <c r="R16" s="52"/>
      <c r="S16" s="52"/>
      <c r="T16" s="38" t="str">
        <f aca="false">IF(OR(R16="",S16=""),"",R16*S16)</f>
        <v/>
      </c>
      <c r="U16" s="39" t="str">
        <f aca="false">IF(T16="","",IF(T16&gt;=16,"Critical",IF(T16&gt;=10,"High",IF(T16&gt;=5,"Medium","Low"))))</f>
        <v/>
      </c>
      <c r="V16" s="50"/>
      <c r="W16" s="53"/>
      <c r="X16" s="41" t="str">
        <f aca="false">IF(OR(I16="",W16=""),"",CHOOSE(I16,0.1,0.3,0.5,0.7,0.9)*W16*IF(D16="Opportunity",-1,1))</f>
        <v/>
      </c>
      <c r="Y16" s="50"/>
      <c r="Z16" s="51"/>
    </row>
    <row r="17" customFormat="false" ht="15" hidden="false" customHeight="false" outlineLevel="0" collapsed="false">
      <c r="A17" s="46"/>
      <c r="B17" s="47"/>
      <c r="C17" s="46"/>
      <c r="D17" s="46"/>
      <c r="E17" s="46"/>
      <c r="F17" s="46"/>
      <c r="G17" s="46"/>
      <c r="H17" s="46"/>
      <c r="I17" s="48"/>
      <c r="J17" s="48"/>
      <c r="K17" s="38" t="str">
        <f aca="false">IF(OR(I17="",J17=""),"",I17*J17)</f>
        <v/>
      </c>
      <c r="L17" s="39" t="str">
        <f aca="false">IF(K17="","",IF(K17&gt;=16,"Critical",IF(K17&gt;=10,"High",IF(K17&gt;=5,"Medium","Low"))))</f>
        <v/>
      </c>
      <c r="M17" s="46"/>
      <c r="N17" s="46"/>
      <c r="O17" s="46"/>
      <c r="P17" s="46"/>
      <c r="Q17" s="47"/>
      <c r="R17" s="48"/>
      <c r="S17" s="48"/>
      <c r="T17" s="38" t="str">
        <f aca="false">IF(OR(R17="",S17=""),"",R17*S17)</f>
        <v/>
      </c>
      <c r="U17" s="39" t="str">
        <f aca="false">IF(T17="","",IF(T17&gt;=16,"Critical",IF(T17&gt;=10,"High",IF(T17&gt;=5,"Medium","Low"))))</f>
        <v/>
      </c>
      <c r="V17" s="46"/>
      <c r="W17" s="49"/>
      <c r="X17" s="41" t="str">
        <f aca="false">IF(OR(I17="",W17=""),"",CHOOSE(I17,0.1,0.3,0.5,0.7,0.9)*W17*IF(D17="Opportunity",-1,1))</f>
        <v/>
      </c>
      <c r="Y17" s="46"/>
      <c r="Z17" s="47"/>
    </row>
    <row r="18" customFormat="false" ht="15" hidden="false" customHeight="false" outlineLevel="0" collapsed="false">
      <c r="A18" s="50"/>
      <c r="B18" s="51"/>
      <c r="C18" s="50"/>
      <c r="D18" s="50"/>
      <c r="E18" s="50"/>
      <c r="F18" s="50"/>
      <c r="G18" s="50"/>
      <c r="H18" s="50"/>
      <c r="I18" s="52"/>
      <c r="J18" s="52"/>
      <c r="K18" s="38" t="str">
        <f aca="false">IF(OR(I18="",J18=""),"",I18*J18)</f>
        <v/>
      </c>
      <c r="L18" s="39" t="str">
        <f aca="false">IF(K18="","",IF(K18&gt;=16,"Critical",IF(K18&gt;=10,"High",IF(K18&gt;=5,"Medium","Low"))))</f>
        <v/>
      </c>
      <c r="M18" s="50"/>
      <c r="N18" s="50"/>
      <c r="O18" s="50"/>
      <c r="P18" s="50"/>
      <c r="Q18" s="51"/>
      <c r="R18" s="52"/>
      <c r="S18" s="52"/>
      <c r="T18" s="38" t="str">
        <f aca="false">IF(OR(R18="",S18=""),"",R18*S18)</f>
        <v/>
      </c>
      <c r="U18" s="39" t="str">
        <f aca="false">IF(T18="","",IF(T18&gt;=16,"Critical",IF(T18&gt;=10,"High",IF(T18&gt;=5,"Medium","Low"))))</f>
        <v/>
      </c>
      <c r="V18" s="50"/>
      <c r="W18" s="53"/>
      <c r="X18" s="41" t="str">
        <f aca="false">IF(OR(I18="",W18=""),"",CHOOSE(I18,0.1,0.3,0.5,0.7,0.9)*W18*IF(D18="Opportunity",-1,1))</f>
        <v/>
      </c>
      <c r="Y18" s="50"/>
      <c r="Z18" s="51"/>
    </row>
    <row r="19" customFormat="false" ht="15" hidden="false" customHeight="false" outlineLevel="0" collapsed="false">
      <c r="A19" s="46"/>
      <c r="B19" s="47"/>
      <c r="C19" s="46"/>
      <c r="D19" s="46"/>
      <c r="E19" s="46"/>
      <c r="F19" s="46"/>
      <c r="G19" s="46"/>
      <c r="H19" s="46"/>
      <c r="I19" s="48"/>
      <c r="J19" s="48"/>
      <c r="K19" s="38" t="str">
        <f aca="false">IF(OR(I19="",J19=""),"",I19*J19)</f>
        <v/>
      </c>
      <c r="L19" s="39" t="str">
        <f aca="false">IF(K19="","",IF(K19&gt;=16,"Critical",IF(K19&gt;=10,"High",IF(K19&gt;=5,"Medium","Low"))))</f>
        <v/>
      </c>
      <c r="M19" s="46"/>
      <c r="N19" s="46"/>
      <c r="O19" s="46"/>
      <c r="P19" s="46"/>
      <c r="Q19" s="47"/>
      <c r="R19" s="48"/>
      <c r="S19" s="48"/>
      <c r="T19" s="38" t="str">
        <f aca="false">IF(OR(R19="",S19=""),"",R19*S19)</f>
        <v/>
      </c>
      <c r="U19" s="39" t="str">
        <f aca="false">IF(T19="","",IF(T19&gt;=16,"Critical",IF(T19&gt;=10,"High",IF(T19&gt;=5,"Medium","Low"))))</f>
        <v/>
      </c>
      <c r="V19" s="46"/>
      <c r="W19" s="49"/>
      <c r="X19" s="41" t="str">
        <f aca="false">IF(OR(I19="",W19=""),"",CHOOSE(I19,0.1,0.3,0.5,0.7,0.9)*W19*IF(D19="Opportunity",-1,1))</f>
        <v/>
      </c>
      <c r="Y19" s="46"/>
      <c r="Z19" s="47"/>
    </row>
    <row r="20" customFormat="false" ht="15" hidden="false" customHeight="false" outlineLevel="0" collapsed="false">
      <c r="A20" s="50"/>
      <c r="B20" s="51"/>
      <c r="C20" s="50"/>
      <c r="D20" s="50"/>
      <c r="E20" s="50"/>
      <c r="F20" s="50"/>
      <c r="G20" s="50"/>
      <c r="H20" s="50"/>
      <c r="I20" s="52"/>
      <c r="J20" s="52"/>
      <c r="K20" s="38" t="str">
        <f aca="false">IF(OR(I20="",J20=""),"",I20*J20)</f>
        <v/>
      </c>
      <c r="L20" s="39" t="str">
        <f aca="false">IF(K20="","",IF(K20&gt;=16,"Critical",IF(K20&gt;=10,"High",IF(K20&gt;=5,"Medium","Low"))))</f>
        <v/>
      </c>
      <c r="M20" s="50"/>
      <c r="N20" s="50"/>
      <c r="O20" s="50"/>
      <c r="P20" s="50"/>
      <c r="Q20" s="51"/>
      <c r="R20" s="52"/>
      <c r="S20" s="52"/>
      <c r="T20" s="38" t="str">
        <f aca="false">IF(OR(R20="",S20=""),"",R20*S20)</f>
        <v/>
      </c>
      <c r="U20" s="39" t="str">
        <f aca="false">IF(T20="","",IF(T20&gt;=16,"Critical",IF(T20&gt;=10,"High",IF(T20&gt;=5,"Medium","Low"))))</f>
        <v/>
      </c>
      <c r="V20" s="50"/>
      <c r="W20" s="53"/>
      <c r="X20" s="41" t="str">
        <f aca="false">IF(OR(I20="",W20=""),"",CHOOSE(I20,0.1,0.3,0.5,0.7,0.9)*W20*IF(D20="Opportunity",-1,1))</f>
        <v/>
      </c>
      <c r="Y20" s="50"/>
      <c r="Z20" s="51"/>
    </row>
    <row r="21" customFormat="false" ht="15" hidden="false" customHeight="false" outlineLevel="0" collapsed="false">
      <c r="A21" s="46"/>
      <c r="B21" s="47"/>
      <c r="C21" s="46"/>
      <c r="D21" s="46"/>
      <c r="E21" s="46"/>
      <c r="F21" s="46"/>
      <c r="G21" s="46"/>
      <c r="H21" s="46"/>
      <c r="I21" s="48"/>
      <c r="J21" s="48"/>
      <c r="K21" s="38" t="str">
        <f aca="false">IF(OR(I21="",J21=""),"",I21*J21)</f>
        <v/>
      </c>
      <c r="L21" s="39" t="str">
        <f aca="false">IF(K21="","",IF(K21&gt;=16,"Critical",IF(K21&gt;=10,"High",IF(K21&gt;=5,"Medium","Low"))))</f>
        <v/>
      </c>
      <c r="M21" s="46"/>
      <c r="N21" s="46"/>
      <c r="O21" s="46"/>
      <c r="P21" s="46"/>
      <c r="Q21" s="47"/>
      <c r="R21" s="48"/>
      <c r="S21" s="48"/>
      <c r="T21" s="38" t="str">
        <f aca="false">IF(OR(R21="",S21=""),"",R21*S21)</f>
        <v/>
      </c>
      <c r="U21" s="39" t="str">
        <f aca="false">IF(T21="","",IF(T21&gt;=16,"Critical",IF(T21&gt;=10,"High",IF(T21&gt;=5,"Medium","Low"))))</f>
        <v/>
      </c>
      <c r="V21" s="46"/>
      <c r="W21" s="49"/>
      <c r="X21" s="41" t="str">
        <f aca="false">IF(OR(I21="",W21=""),"",CHOOSE(I21,0.1,0.3,0.5,0.7,0.9)*W21*IF(D21="Opportunity",-1,1))</f>
        <v/>
      </c>
      <c r="Y21" s="46"/>
      <c r="Z21" s="47"/>
    </row>
    <row r="22" customFormat="false" ht="15" hidden="false" customHeight="false" outlineLevel="0" collapsed="false">
      <c r="A22" s="50"/>
      <c r="B22" s="51"/>
      <c r="C22" s="50"/>
      <c r="D22" s="50"/>
      <c r="E22" s="50"/>
      <c r="F22" s="50"/>
      <c r="G22" s="50"/>
      <c r="H22" s="50"/>
      <c r="I22" s="52"/>
      <c r="J22" s="52"/>
      <c r="K22" s="38" t="str">
        <f aca="false">IF(OR(I22="",J22=""),"",I22*J22)</f>
        <v/>
      </c>
      <c r="L22" s="39" t="str">
        <f aca="false">IF(K22="","",IF(K22&gt;=16,"Critical",IF(K22&gt;=10,"High",IF(K22&gt;=5,"Medium","Low"))))</f>
        <v/>
      </c>
      <c r="M22" s="50"/>
      <c r="N22" s="50"/>
      <c r="O22" s="50"/>
      <c r="P22" s="50"/>
      <c r="Q22" s="51"/>
      <c r="R22" s="52"/>
      <c r="S22" s="52"/>
      <c r="T22" s="38" t="str">
        <f aca="false">IF(OR(R22="",S22=""),"",R22*S22)</f>
        <v/>
      </c>
      <c r="U22" s="39" t="str">
        <f aca="false">IF(T22="","",IF(T22&gt;=16,"Critical",IF(T22&gt;=10,"High",IF(T22&gt;=5,"Medium","Low"))))</f>
        <v/>
      </c>
      <c r="V22" s="50"/>
      <c r="W22" s="53"/>
      <c r="X22" s="41" t="str">
        <f aca="false">IF(OR(I22="",W22=""),"",CHOOSE(I22,0.1,0.3,0.5,0.7,0.9)*W22*IF(D22="Opportunity",-1,1))</f>
        <v/>
      </c>
      <c r="Y22" s="50"/>
      <c r="Z22" s="51"/>
    </row>
    <row r="23" customFormat="false" ht="15" hidden="false" customHeight="false" outlineLevel="0" collapsed="false">
      <c r="A23" s="46"/>
      <c r="B23" s="47"/>
      <c r="C23" s="46"/>
      <c r="D23" s="46"/>
      <c r="E23" s="46"/>
      <c r="F23" s="46"/>
      <c r="G23" s="46"/>
      <c r="H23" s="46"/>
      <c r="I23" s="48"/>
      <c r="J23" s="48"/>
      <c r="K23" s="38" t="str">
        <f aca="false">IF(OR(I23="",J23=""),"",I23*J23)</f>
        <v/>
      </c>
      <c r="L23" s="39" t="str">
        <f aca="false">IF(K23="","",IF(K23&gt;=16,"Critical",IF(K23&gt;=10,"High",IF(K23&gt;=5,"Medium","Low"))))</f>
        <v/>
      </c>
      <c r="M23" s="46"/>
      <c r="N23" s="46"/>
      <c r="O23" s="46"/>
      <c r="P23" s="46"/>
      <c r="Q23" s="47"/>
      <c r="R23" s="48"/>
      <c r="S23" s="48"/>
      <c r="T23" s="38" t="str">
        <f aca="false">IF(OR(R23="",S23=""),"",R23*S23)</f>
        <v/>
      </c>
      <c r="U23" s="39" t="str">
        <f aca="false">IF(T23="","",IF(T23&gt;=16,"Critical",IF(T23&gt;=10,"High",IF(T23&gt;=5,"Medium","Low"))))</f>
        <v/>
      </c>
      <c r="V23" s="46"/>
      <c r="W23" s="49"/>
      <c r="X23" s="41" t="str">
        <f aca="false">IF(OR(I23="",W23=""),"",CHOOSE(I23,0.1,0.3,0.5,0.7,0.9)*W23*IF(D23="Opportunity",-1,1))</f>
        <v/>
      </c>
      <c r="Y23" s="46"/>
      <c r="Z23" s="47"/>
    </row>
    <row r="24" customFormat="false" ht="15" hidden="false" customHeight="false" outlineLevel="0" collapsed="false">
      <c r="A24" s="50"/>
      <c r="B24" s="51"/>
      <c r="C24" s="50"/>
      <c r="D24" s="50"/>
      <c r="E24" s="50"/>
      <c r="F24" s="50"/>
      <c r="G24" s="50"/>
      <c r="H24" s="50"/>
      <c r="I24" s="52"/>
      <c r="J24" s="52"/>
      <c r="K24" s="38" t="str">
        <f aca="false">IF(OR(I24="",J24=""),"",I24*J24)</f>
        <v/>
      </c>
      <c r="L24" s="39" t="str">
        <f aca="false">IF(K24="","",IF(K24&gt;=16,"Critical",IF(K24&gt;=10,"High",IF(K24&gt;=5,"Medium","Low"))))</f>
        <v/>
      </c>
      <c r="M24" s="50"/>
      <c r="N24" s="50"/>
      <c r="O24" s="50"/>
      <c r="P24" s="50"/>
      <c r="Q24" s="51"/>
      <c r="R24" s="52"/>
      <c r="S24" s="52"/>
      <c r="T24" s="38" t="str">
        <f aca="false">IF(OR(R24="",S24=""),"",R24*S24)</f>
        <v/>
      </c>
      <c r="U24" s="39" t="str">
        <f aca="false">IF(T24="","",IF(T24&gt;=16,"Critical",IF(T24&gt;=10,"High",IF(T24&gt;=5,"Medium","Low"))))</f>
        <v/>
      </c>
      <c r="V24" s="50"/>
      <c r="W24" s="53"/>
      <c r="X24" s="41" t="str">
        <f aca="false">IF(OR(I24="",W24=""),"",CHOOSE(I24,0.1,0.3,0.5,0.7,0.9)*W24*IF(D24="Opportunity",-1,1))</f>
        <v/>
      </c>
      <c r="Y24" s="50"/>
      <c r="Z24" s="51"/>
    </row>
    <row r="25" customFormat="false" ht="15" hidden="false" customHeight="false" outlineLevel="0" collapsed="false">
      <c r="A25" s="46"/>
      <c r="B25" s="47"/>
      <c r="C25" s="46"/>
      <c r="D25" s="46"/>
      <c r="E25" s="46"/>
      <c r="F25" s="46"/>
      <c r="G25" s="46"/>
      <c r="H25" s="46"/>
      <c r="I25" s="48"/>
      <c r="J25" s="48"/>
      <c r="K25" s="38" t="str">
        <f aca="false">IF(OR(I25="",J25=""),"",I25*J25)</f>
        <v/>
      </c>
      <c r="L25" s="39" t="str">
        <f aca="false">IF(K25="","",IF(K25&gt;=16,"Critical",IF(K25&gt;=10,"High",IF(K25&gt;=5,"Medium","Low"))))</f>
        <v/>
      </c>
      <c r="M25" s="46"/>
      <c r="N25" s="46"/>
      <c r="O25" s="46"/>
      <c r="P25" s="46"/>
      <c r="Q25" s="47"/>
      <c r="R25" s="48"/>
      <c r="S25" s="48"/>
      <c r="T25" s="38" t="str">
        <f aca="false">IF(OR(R25="",S25=""),"",R25*S25)</f>
        <v/>
      </c>
      <c r="U25" s="39" t="str">
        <f aca="false">IF(T25="","",IF(T25&gt;=16,"Critical",IF(T25&gt;=10,"High",IF(T25&gt;=5,"Medium","Low"))))</f>
        <v/>
      </c>
      <c r="V25" s="46"/>
      <c r="W25" s="49"/>
      <c r="X25" s="41" t="str">
        <f aca="false">IF(OR(I25="",W25=""),"",CHOOSE(I25,0.1,0.3,0.5,0.7,0.9)*W25*IF(D25="Opportunity",-1,1))</f>
        <v/>
      </c>
      <c r="Y25" s="46"/>
      <c r="Z25" s="47"/>
    </row>
    <row r="26" customFormat="false" ht="15" hidden="false" customHeight="false" outlineLevel="0" collapsed="false">
      <c r="A26" s="50"/>
      <c r="B26" s="51"/>
      <c r="C26" s="50"/>
      <c r="D26" s="50"/>
      <c r="E26" s="50"/>
      <c r="F26" s="50"/>
      <c r="G26" s="50"/>
      <c r="H26" s="50"/>
      <c r="I26" s="52"/>
      <c r="J26" s="52"/>
      <c r="K26" s="38" t="str">
        <f aca="false">IF(OR(I26="",J26=""),"",I26*J26)</f>
        <v/>
      </c>
      <c r="L26" s="39" t="str">
        <f aca="false">IF(K26="","",IF(K26&gt;=16,"Critical",IF(K26&gt;=10,"High",IF(K26&gt;=5,"Medium","Low"))))</f>
        <v/>
      </c>
      <c r="M26" s="50"/>
      <c r="N26" s="50"/>
      <c r="O26" s="50"/>
      <c r="P26" s="50"/>
      <c r="Q26" s="51"/>
      <c r="R26" s="52"/>
      <c r="S26" s="52"/>
      <c r="T26" s="38" t="str">
        <f aca="false">IF(OR(R26="",S26=""),"",R26*S26)</f>
        <v/>
      </c>
      <c r="U26" s="39" t="str">
        <f aca="false">IF(T26="","",IF(T26&gt;=16,"Critical",IF(T26&gt;=10,"High",IF(T26&gt;=5,"Medium","Low"))))</f>
        <v/>
      </c>
      <c r="V26" s="50"/>
      <c r="W26" s="53"/>
      <c r="X26" s="41" t="str">
        <f aca="false">IF(OR(I26="",W26=""),"",CHOOSE(I26,0.1,0.3,0.5,0.7,0.9)*W26*IF(D26="Opportunity",-1,1))</f>
        <v/>
      </c>
      <c r="Y26" s="50"/>
      <c r="Z26" s="51"/>
    </row>
    <row r="27" customFormat="false" ht="15" hidden="false" customHeight="false" outlineLevel="0" collapsed="false">
      <c r="A27" s="46"/>
      <c r="B27" s="47"/>
      <c r="C27" s="46"/>
      <c r="D27" s="46"/>
      <c r="E27" s="46"/>
      <c r="F27" s="46"/>
      <c r="G27" s="46"/>
      <c r="H27" s="46"/>
      <c r="I27" s="48"/>
      <c r="J27" s="48"/>
      <c r="K27" s="38" t="str">
        <f aca="false">IF(OR(I27="",J27=""),"",I27*J27)</f>
        <v/>
      </c>
      <c r="L27" s="39" t="str">
        <f aca="false">IF(K27="","",IF(K27&gt;=16,"Critical",IF(K27&gt;=10,"High",IF(K27&gt;=5,"Medium","Low"))))</f>
        <v/>
      </c>
      <c r="M27" s="46"/>
      <c r="N27" s="46"/>
      <c r="O27" s="46"/>
      <c r="P27" s="46"/>
      <c r="Q27" s="47"/>
      <c r="R27" s="48"/>
      <c r="S27" s="48"/>
      <c r="T27" s="38" t="str">
        <f aca="false">IF(OR(R27="",S27=""),"",R27*S27)</f>
        <v/>
      </c>
      <c r="U27" s="39" t="str">
        <f aca="false">IF(T27="","",IF(T27&gt;=16,"Critical",IF(T27&gt;=10,"High",IF(T27&gt;=5,"Medium","Low"))))</f>
        <v/>
      </c>
      <c r="V27" s="46"/>
      <c r="W27" s="49"/>
      <c r="X27" s="41" t="str">
        <f aca="false">IF(OR(I27="",W27=""),"",CHOOSE(I27,0.1,0.3,0.5,0.7,0.9)*W27*IF(D27="Opportunity",-1,1))</f>
        <v/>
      </c>
      <c r="Y27" s="46"/>
      <c r="Z27" s="47"/>
    </row>
    <row r="28" customFormat="false" ht="15" hidden="false" customHeight="false" outlineLevel="0" collapsed="false">
      <c r="A28" s="50"/>
      <c r="B28" s="51"/>
      <c r="C28" s="50"/>
      <c r="D28" s="50"/>
      <c r="E28" s="50"/>
      <c r="F28" s="50"/>
      <c r="G28" s="50"/>
      <c r="H28" s="50"/>
      <c r="I28" s="52"/>
      <c r="J28" s="52"/>
      <c r="K28" s="38" t="str">
        <f aca="false">IF(OR(I28="",J28=""),"",I28*J28)</f>
        <v/>
      </c>
      <c r="L28" s="39" t="str">
        <f aca="false">IF(K28="","",IF(K28&gt;=16,"Critical",IF(K28&gt;=10,"High",IF(K28&gt;=5,"Medium","Low"))))</f>
        <v/>
      </c>
      <c r="M28" s="50"/>
      <c r="N28" s="50"/>
      <c r="O28" s="50"/>
      <c r="P28" s="50"/>
      <c r="Q28" s="51"/>
      <c r="R28" s="52"/>
      <c r="S28" s="52"/>
      <c r="T28" s="38" t="str">
        <f aca="false">IF(OR(R28="",S28=""),"",R28*S28)</f>
        <v/>
      </c>
      <c r="U28" s="39" t="str">
        <f aca="false">IF(T28="","",IF(T28&gt;=16,"Critical",IF(T28&gt;=10,"High",IF(T28&gt;=5,"Medium","Low"))))</f>
        <v/>
      </c>
      <c r="V28" s="50"/>
      <c r="W28" s="53"/>
      <c r="X28" s="41" t="str">
        <f aca="false">IF(OR(I28="",W28=""),"",CHOOSE(I28,0.1,0.3,0.5,0.7,0.9)*W28*IF(D28="Opportunity",-1,1))</f>
        <v/>
      </c>
      <c r="Y28" s="50"/>
      <c r="Z28" s="51"/>
    </row>
    <row r="29" customFormat="false" ht="15" hidden="false" customHeight="false" outlineLevel="0" collapsed="false">
      <c r="A29" s="46"/>
      <c r="B29" s="47"/>
      <c r="C29" s="46"/>
      <c r="D29" s="46"/>
      <c r="E29" s="46"/>
      <c r="F29" s="46"/>
      <c r="G29" s="46"/>
      <c r="H29" s="46"/>
      <c r="I29" s="48"/>
      <c r="J29" s="48"/>
      <c r="K29" s="38" t="str">
        <f aca="false">IF(OR(I29="",J29=""),"",I29*J29)</f>
        <v/>
      </c>
      <c r="L29" s="39" t="str">
        <f aca="false">IF(K29="","",IF(K29&gt;=16,"Critical",IF(K29&gt;=10,"High",IF(K29&gt;=5,"Medium","Low"))))</f>
        <v/>
      </c>
      <c r="M29" s="46"/>
      <c r="N29" s="46"/>
      <c r="O29" s="46"/>
      <c r="P29" s="46"/>
      <c r="Q29" s="47"/>
      <c r="R29" s="48"/>
      <c r="S29" s="48"/>
      <c r="T29" s="38" t="str">
        <f aca="false">IF(OR(R29="",S29=""),"",R29*S29)</f>
        <v/>
      </c>
      <c r="U29" s="39" t="str">
        <f aca="false">IF(T29="","",IF(T29&gt;=16,"Critical",IF(T29&gt;=10,"High",IF(T29&gt;=5,"Medium","Low"))))</f>
        <v/>
      </c>
      <c r="V29" s="46"/>
      <c r="W29" s="49"/>
      <c r="X29" s="41" t="str">
        <f aca="false">IF(OR(I29="",W29=""),"",CHOOSE(I29,0.1,0.3,0.5,0.7,0.9)*W29*IF(D29="Opportunity",-1,1))</f>
        <v/>
      </c>
      <c r="Y29" s="46"/>
      <c r="Z29" s="47"/>
    </row>
    <row r="30" customFormat="false" ht="15" hidden="false" customHeight="false" outlineLevel="0" collapsed="false">
      <c r="A30" s="50"/>
      <c r="B30" s="51"/>
      <c r="C30" s="50"/>
      <c r="D30" s="50"/>
      <c r="E30" s="50"/>
      <c r="F30" s="50"/>
      <c r="G30" s="50"/>
      <c r="H30" s="50"/>
      <c r="I30" s="52"/>
      <c r="J30" s="52"/>
      <c r="K30" s="38" t="str">
        <f aca="false">IF(OR(I30="",J30=""),"",I30*J30)</f>
        <v/>
      </c>
      <c r="L30" s="39" t="str">
        <f aca="false">IF(K30="","",IF(K30&gt;=16,"Critical",IF(K30&gt;=10,"High",IF(K30&gt;=5,"Medium","Low"))))</f>
        <v/>
      </c>
      <c r="M30" s="50"/>
      <c r="N30" s="50"/>
      <c r="O30" s="50"/>
      <c r="P30" s="50"/>
      <c r="Q30" s="51"/>
      <c r="R30" s="52"/>
      <c r="S30" s="52"/>
      <c r="T30" s="38" t="str">
        <f aca="false">IF(OR(R30="",S30=""),"",R30*S30)</f>
        <v/>
      </c>
      <c r="U30" s="39" t="str">
        <f aca="false">IF(T30="","",IF(T30&gt;=16,"Critical",IF(T30&gt;=10,"High",IF(T30&gt;=5,"Medium","Low"))))</f>
        <v/>
      </c>
      <c r="V30" s="50"/>
      <c r="W30" s="53"/>
      <c r="X30" s="41" t="str">
        <f aca="false">IF(OR(I30="",W30=""),"",CHOOSE(I30,0.1,0.3,0.5,0.7,0.9)*W30*IF(D30="Opportunity",-1,1))</f>
        <v/>
      </c>
      <c r="Y30" s="50"/>
      <c r="Z30" s="51"/>
    </row>
    <row r="31" customFormat="false" ht="15" hidden="false" customHeight="false" outlineLevel="0" collapsed="false">
      <c r="A31" s="46"/>
      <c r="B31" s="47"/>
      <c r="C31" s="46"/>
      <c r="D31" s="46"/>
      <c r="E31" s="46"/>
      <c r="F31" s="46"/>
      <c r="G31" s="46"/>
      <c r="H31" s="46"/>
      <c r="I31" s="48"/>
      <c r="J31" s="48"/>
      <c r="K31" s="38" t="str">
        <f aca="false">IF(OR(I31="",J31=""),"",I31*J31)</f>
        <v/>
      </c>
      <c r="L31" s="39" t="str">
        <f aca="false">IF(K31="","",IF(K31&gt;=16,"Critical",IF(K31&gt;=10,"High",IF(K31&gt;=5,"Medium","Low"))))</f>
        <v/>
      </c>
      <c r="M31" s="46"/>
      <c r="N31" s="46"/>
      <c r="O31" s="46"/>
      <c r="P31" s="46"/>
      <c r="Q31" s="47"/>
      <c r="R31" s="48"/>
      <c r="S31" s="48"/>
      <c r="T31" s="38" t="str">
        <f aca="false">IF(OR(R31="",S31=""),"",R31*S31)</f>
        <v/>
      </c>
      <c r="U31" s="39" t="str">
        <f aca="false">IF(T31="","",IF(T31&gt;=16,"Critical",IF(T31&gt;=10,"High",IF(T31&gt;=5,"Medium","Low"))))</f>
        <v/>
      </c>
      <c r="V31" s="46"/>
      <c r="W31" s="49"/>
      <c r="X31" s="41" t="str">
        <f aca="false">IF(OR(I31="",W31=""),"",CHOOSE(I31,0.1,0.3,0.5,0.7,0.9)*W31*IF(D31="Opportunity",-1,1))</f>
        <v/>
      </c>
      <c r="Y31" s="46"/>
      <c r="Z31" s="47"/>
    </row>
    <row r="32" customFormat="false" ht="15" hidden="false" customHeight="false" outlineLevel="0" collapsed="false">
      <c r="A32" s="50"/>
      <c r="B32" s="51"/>
      <c r="C32" s="50"/>
      <c r="D32" s="50"/>
      <c r="E32" s="50"/>
      <c r="F32" s="50"/>
      <c r="G32" s="50"/>
      <c r="H32" s="50"/>
      <c r="I32" s="52"/>
      <c r="J32" s="52"/>
      <c r="K32" s="38" t="str">
        <f aca="false">IF(OR(I32="",J32=""),"",I32*J32)</f>
        <v/>
      </c>
      <c r="L32" s="39" t="str">
        <f aca="false">IF(K32="","",IF(K32&gt;=16,"Critical",IF(K32&gt;=10,"High",IF(K32&gt;=5,"Medium","Low"))))</f>
        <v/>
      </c>
      <c r="M32" s="50"/>
      <c r="N32" s="50"/>
      <c r="O32" s="50"/>
      <c r="P32" s="50"/>
      <c r="Q32" s="51"/>
      <c r="R32" s="52"/>
      <c r="S32" s="52"/>
      <c r="T32" s="38" t="str">
        <f aca="false">IF(OR(R32="",S32=""),"",R32*S32)</f>
        <v/>
      </c>
      <c r="U32" s="39" t="str">
        <f aca="false">IF(T32="","",IF(T32&gt;=16,"Critical",IF(T32&gt;=10,"High",IF(T32&gt;=5,"Medium","Low"))))</f>
        <v/>
      </c>
      <c r="V32" s="50"/>
      <c r="W32" s="53"/>
      <c r="X32" s="41" t="str">
        <f aca="false">IF(OR(I32="",W32=""),"",CHOOSE(I32,0.1,0.3,0.5,0.7,0.9)*W32*IF(D32="Opportunity",-1,1))</f>
        <v/>
      </c>
      <c r="Y32" s="50"/>
      <c r="Z32" s="51"/>
    </row>
    <row r="33" customFormat="false" ht="15" hidden="false" customHeight="false" outlineLevel="0" collapsed="false">
      <c r="A33" s="46"/>
      <c r="B33" s="47"/>
      <c r="C33" s="46"/>
      <c r="D33" s="46"/>
      <c r="E33" s="46"/>
      <c r="F33" s="46"/>
      <c r="G33" s="46"/>
      <c r="H33" s="46"/>
      <c r="I33" s="48"/>
      <c r="J33" s="48"/>
      <c r="K33" s="38" t="str">
        <f aca="false">IF(OR(I33="",J33=""),"",I33*J33)</f>
        <v/>
      </c>
      <c r="L33" s="39" t="str">
        <f aca="false">IF(K33="","",IF(K33&gt;=16,"Critical",IF(K33&gt;=10,"High",IF(K33&gt;=5,"Medium","Low"))))</f>
        <v/>
      </c>
      <c r="M33" s="46"/>
      <c r="N33" s="46"/>
      <c r="O33" s="46"/>
      <c r="P33" s="46"/>
      <c r="Q33" s="47"/>
      <c r="R33" s="48"/>
      <c r="S33" s="48"/>
      <c r="T33" s="38" t="str">
        <f aca="false">IF(OR(R33="",S33=""),"",R33*S33)</f>
        <v/>
      </c>
      <c r="U33" s="39" t="str">
        <f aca="false">IF(T33="","",IF(T33&gt;=16,"Critical",IF(T33&gt;=10,"High",IF(T33&gt;=5,"Medium","Low"))))</f>
        <v/>
      </c>
      <c r="V33" s="46"/>
      <c r="W33" s="49"/>
      <c r="X33" s="41" t="str">
        <f aca="false">IF(OR(I33="",W33=""),"",CHOOSE(I33,0.1,0.3,0.5,0.7,0.9)*W33*IF(D33="Opportunity",-1,1))</f>
        <v/>
      </c>
      <c r="Y33" s="46"/>
      <c r="Z33" s="47"/>
    </row>
    <row r="34" customFormat="false" ht="15" hidden="false" customHeight="false" outlineLevel="0" collapsed="false">
      <c r="A34" s="50"/>
      <c r="B34" s="51"/>
      <c r="C34" s="50"/>
      <c r="D34" s="50"/>
      <c r="E34" s="50"/>
      <c r="F34" s="50"/>
      <c r="G34" s="50"/>
      <c r="H34" s="50"/>
      <c r="I34" s="52"/>
      <c r="J34" s="52"/>
      <c r="K34" s="38" t="str">
        <f aca="false">IF(OR(I34="",J34=""),"",I34*J34)</f>
        <v/>
      </c>
      <c r="L34" s="39" t="str">
        <f aca="false">IF(K34="","",IF(K34&gt;=16,"Critical",IF(K34&gt;=10,"High",IF(K34&gt;=5,"Medium","Low"))))</f>
        <v/>
      </c>
      <c r="M34" s="50"/>
      <c r="N34" s="50"/>
      <c r="O34" s="50"/>
      <c r="P34" s="50"/>
      <c r="Q34" s="51"/>
      <c r="R34" s="52"/>
      <c r="S34" s="52"/>
      <c r="T34" s="38" t="str">
        <f aca="false">IF(OR(R34="",S34=""),"",R34*S34)</f>
        <v/>
      </c>
      <c r="U34" s="39" t="str">
        <f aca="false">IF(T34="","",IF(T34&gt;=16,"Critical",IF(T34&gt;=10,"High",IF(T34&gt;=5,"Medium","Low"))))</f>
        <v/>
      </c>
      <c r="V34" s="50"/>
      <c r="W34" s="53"/>
      <c r="X34" s="41" t="str">
        <f aca="false">IF(OR(I34="",W34=""),"",CHOOSE(I34,0.1,0.3,0.5,0.7,0.9)*W34*IF(D34="Opportunity",-1,1))</f>
        <v/>
      </c>
      <c r="Y34" s="50"/>
      <c r="Z34" s="51"/>
    </row>
    <row r="35" customFormat="false" ht="15" hidden="false" customHeight="false" outlineLevel="0" collapsed="false">
      <c r="A35" s="46"/>
      <c r="B35" s="47"/>
      <c r="C35" s="46"/>
      <c r="D35" s="46"/>
      <c r="E35" s="46"/>
      <c r="F35" s="46"/>
      <c r="G35" s="46"/>
      <c r="H35" s="46"/>
      <c r="I35" s="48"/>
      <c r="J35" s="48"/>
      <c r="K35" s="38" t="str">
        <f aca="false">IF(OR(I35="",J35=""),"",I35*J35)</f>
        <v/>
      </c>
      <c r="L35" s="39" t="str">
        <f aca="false">IF(K35="","",IF(K35&gt;=16,"Critical",IF(K35&gt;=10,"High",IF(K35&gt;=5,"Medium","Low"))))</f>
        <v/>
      </c>
      <c r="M35" s="46"/>
      <c r="N35" s="46"/>
      <c r="O35" s="46"/>
      <c r="P35" s="46"/>
      <c r="Q35" s="47"/>
      <c r="R35" s="48"/>
      <c r="S35" s="48"/>
      <c r="T35" s="38" t="str">
        <f aca="false">IF(OR(R35="",S35=""),"",R35*S35)</f>
        <v/>
      </c>
      <c r="U35" s="39" t="str">
        <f aca="false">IF(T35="","",IF(T35&gt;=16,"Critical",IF(T35&gt;=10,"High",IF(T35&gt;=5,"Medium","Low"))))</f>
        <v/>
      </c>
      <c r="V35" s="46"/>
      <c r="W35" s="49"/>
      <c r="X35" s="41" t="str">
        <f aca="false">IF(OR(I35="",W35=""),"",CHOOSE(I35,0.1,0.3,0.5,0.7,0.9)*W35*IF(D35="Opportunity",-1,1))</f>
        <v/>
      </c>
      <c r="Y35" s="46"/>
      <c r="Z35" s="47"/>
    </row>
    <row r="36" customFormat="false" ht="15" hidden="false" customHeight="false" outlineLevel="0" collapsed="false">
      <c r="A36" s="50"/>
      <c r="B36" s="51"/>
      <c r="C36" s="50"/>
      <c r="D36" s="50"/>
      <c r="E36" s="50"/>
      <c r="F36" s="50"/>
      <c r="G36" s="50"/>
      <c r="H36" s="50"/>
      <c r="I36" s="52"/>
      <c r="J36" s="52"/>
      <c r="K36" s="38" t="str">
        <f aca="false">IF(OR(I36="",J36=""),"",I36*J36)</f>
        <v/>
      </c>
      <c r="L36" s="39" t="str">
        <f aca="false">IF(K36="","",IF(K36&gt;=16,"Critical",IF(K36&gt;=10,"High",IF(K36&gt;=5,"Medium","Low"))))</f>
        <v/>
      </c>
      <c r="M36" s="50"/>
      <c r="N36" s="50"/>
      <c r="O36" s="50"/>
      <c r="P36" s="50"/>
      <c r="Q36" s="51"/>
      <c r="R36" s="52"/>
      <c r="S36" s="52"/>
      <c r="T36" s="38" t="str">
        <f aca="false">IF(OR(R36="",S36=""),"",R36*S36)</f>
        <v/>
      </c>
      <c r="U36" s="39" t="str">
        <f aca="false">IF(T36="","",IF(T36&gt;=16,"Critical",IF(T36&gt;=10,"High",IF(T36&gt;=5,"Medium","Low"))))</f>
        <v/>
      </c>
      <c r="V36" s="50"/>
      <c r="W36" s="53"/>
      <c r="X36" s="41" t="str">
        <f aca="false">IF(OR(I36="",W36=""),"",CHOOSE(I36,0.1,0.3,0.5,0.7,0.9)*W36*IF(D36="Opportunity",-1,1))</f>
        <v/>
      </c>
      <c r="Y36" s="50"/>
      <c r="Z36" s="51"/>
    </row>
    <row r="37" customFormat="false" ht="15" hidden="false" customHeight="false" outlineLevel="0" collapsed="false">
      <c r="A37" s="46"/>
      <c r="B37" s="47"/>
      <c r="C37" s="46"/>
      <c r="D37" s="46"/>
      <c r="E37" s="46"/>
      <c r="F37" s="46"/>
      <c r="G37" s="46"/>
      <c r="H37" s="46"/>
      <c r="I37" s="48"/>
      <c r="J37" s="48"/>
      <c r="K37" s="38" t="str">
        <f aca="false">IF(OR(I37="",J37=""),"",I37*J37)</f>
        <v/>
      </c>
      <c r="L37" s="39" t="str">
        <f aca="false">IF(K37="","",IF(K37&gt;=16,"Critical",IF(K37&gt;=10,"High",IF(K37&gt;=5,"Medium","Low"))))</f>
        <v/>
      </c>
      <c r="M37" s="46"/>
      <c r="N37" s="46"/>
      <c r="O37" s="46"/>
      <c r="P37" s="46"/>
      <c r="Q37" s="47"/>
      <c r="R37" s="48"/>
      <c r="S37" s="48"/>
      <c r="T37" s="38" t="str">
        <f aca="false">IF(OR(R37="",S37=""),"",R37*S37)</f>
        <v/>
      </c>
      <c r="U37" s="39" t="str">
        <f aca="false">IF(T37="","",IF(T37&gt;=16,"Critical",IF(T37&gt;=10,"High",IF(T37&gt;=5,"Medium","Low"))))</f>
        <v/>
      </c>
      <c r="V37" s="46"/>
      <c r="W37" s="49"/>
      <c r="X37" s="41" t="str">
        <f aca="false">IF(OR(I37="",W37=""),"",CHOOSE(I37,0.1,0.3,0.5,0.7,0.9)*W37*IF(D37="Opportunity",-1,1))</f>
        <v/>
      </c>
      <c r="Y37" s="46"/>
      <c r="Z37" s="47"/>
    </row>
    <row r="38" customFormat="false" ht="15" hidden="false" customHeight="false" outlineLevel="0" collapsed="false">
      <c r="A38" s="50"/>
      <c r="B38" s="51"/>
      <c r="C38" s="50"/>
      <c r="D38" s="50"/>
      <c r="E38" s="50"/>
      <c r="F38" s="50"/>
      <c r="G38" s="50"/>
      <c r="H38" s="50"/>
      <c r="I38" s="52"/>
      <c r="J38" s="52"/>
      <c r="K38" s="38" t="str">
        <f aca="false">IF(OR(I38="",J38=""),"",I38*J38)</f>
        <v/>
      </c>
      <c r="L38" s="39" t="str">
        <f aca="false">IF(K38="","",IF(K38&gt;=16,"Critical",IF(K38&gt;=10,"High",IF(K38&gt;=5,"Medium","Low"))))</f>
        <v/>
      </c>
      <c r="M38" s="50"/>
      <c r="N38" s="50"/>
      <c r="O38" s="50"/>
      <c r="P38" s="50"/>
      <c r="Q38" s="51"/>
      <c r="R38" s="52"/>
      <c r="S38" s="52"/>
      <c r="T38" s="38" t="str">
        <f aca="false">IF(OR(R38="",S38=""),"",R38*S38)</f>
        <v/>
      </c>
      <c r="U38" s="39" t="str">
        <f aca="false">IF(T38="","",IF(T38&gt;=16,"Critical",IF(T38&gt;=10,"High",IF(T38&gt;=5,"Medium","Low"))))</f>
        <v/>
      </c>
      <c r="V38" s="50"/>
      <c r="W38" s="53"/>
      <c r="X38" s="41" t="str">
        <f aca="false">IF(OR(I38="",W38=""),"",CHOOSE(I38,0.1,0.3,0.5,0.7,0.9)*W38*IF(D38="Opportunity",-1,1))</f>
        <v/>
      </c>
      <c r="Y38" s="50"/>
      <c r="Z38" s="51"/>
    </row>
    <row r="39" customFormat="false" ht="15" hidden="false" customHeight="false" outlineLevel="0" collapsed="false">
      <c r="A39" s="46"/>
      <c r="B39" s="47"/>
      <c r="C39" s="46"/>
      <c r="D39" s="46"/>
      <c r="E39" s="46"/>
      <c r="F39" s="46"/>
      <c r="G39" s="46"/>
      <c r="H39" s="46"/>
      <c r="I39" s="48"/>
      <c r="J39" s="48"/>
      <c r="K39" s="38" t="str">
        <f aca="false">IF(OR(I39="",J39=""),"",I39*J39)</f>
        <v/>
      </c>
      <c r="L39" s="39" t="str">
        <f aca="false">IF(K39="","",IF(K39&gt;=16,"Critical",IF(K39&gt;=10,"High",IF(K39&gt;=5,"Medium","Low"))))</f>
        <v/>
      </c>
      <c r="M39" s="46"/>
      <c r="N39" s="46"/>
      <c r="O39" s="46"/>
      <c r="P39" s="46"/>
      <c r="Q39" s="47"/>
      <c r="R39" s="48"/>
      <c r="S39" s="48"/>
      <c r="T39" s="38" t="str">
        <f aca="false">IF(OR(R39="",S39=""),"",R39*S39)</f>
        <v/>
      </c>
      <c r="U39" s="39" t="str">
        <f aca="false">IF(T39="","",IF(T39&gt;=16,"Critical",IF(T39&gt;=10,"High",IF(T39&gt;=5,"Medium","Low"))))</f>
        <v/>
      </c>
      <c r="V39" s="46"/>
      <c r="W39" s="49"/>
      <c r="X39" s="41" t="str">
        <f aca="false">IF(OR(I39="",W39=""),"",CHOOSE(I39,0.1,0.3,0.5,0.7,0.9)*W39*IF(D39="Opportunity",-1,1))</f>
        <v/>
      </c>
      <c r="Y39" s="46"/>
      <c r="Z39" s="47"/>
    </row>
    <row r="40" customFormat="false" ht="15" hidden="false" customHeight="false" outlineLevel="0" collapsed="false">
      <c r="A40" s="50"/>
      <c r="B40" s="51"/>
      <c r="C40" s="50"/>
      <c r="D40" s="50"/>
      <c r="E40" s="50"/>
      <c r="F40" s="50"/>
      <c r="G40" s="50"/>
      <c r="H40" s="50"/>
      <c r="I40" s="52"/>
      <c r="J40" s="52"/>
      <c r="K40" s="38" t="str">
        <f aca="false">IF(OR(I40="",J40=""),"",I40*J40)</f>
        <v/>
      </c>
      <c r="L40" s="39" t="str">
        <f aca="false">IF(K40="","",IF(K40&gt;=16,"Critical",IF(K40&gt;=10,"High",IF(K40&gt;=5,"Medium","Low"))))</f>
        <v/>
      </c>
      <c r="M40" s="50"/>
      <c r="N40" s="50"/>
      <c r="O40" s="50"/>
      <c r="P40" s="50"/>
      <c r="Q40" s="51"/>
      <c r="R40" s="52"/>
      <c r="S40" s="52"/>
      <c r="T40" s="38" t="str">
        <f aca="false">IF(OR(R40="",S40=""),"",R40*S40)</f>
        <v/>
      </c>
      <c r="U40" s="39" t="str">
        <f aca="false">IF(T40="","",IF(T40&gt;=16,"Critical",IF(T40&gt;=10,"High",IF(T40&gt;=5,"Medium","Low"))))</f>
        <v/>
      </c>
      <c r="V40" s="50"/>
      <c r="W40" s="53"/>
      <c r="X40" s="41" t="str">
        <f aca="false">IF(OR(I40="",W40=""),"",CHOOSE(I40,0.1,0.3,0.5,0.7,0.9)*W40*IF(D40="Opportunity",-1,1))</f>
        <v/>
      </c>
      <c r="Y40" s="50"/>
      <c r="Z40" s="51"/>
    </row>
    <row r="41" customFormat="false" ht="15" hidden="false" customHeight="false" outlineLevel="0" collapsed="false">
      <c r="A41" s="46"/>
      <c r="B41" s="47"/>
      <c r="C41" s="46"/>
      <c r="D41" s="46"/>
      <c r="E41" s="46"/>
      <c r="F41" s="46"/>
      <c r="G41" s="46"/>
      <c r="H41" s="46"/>
      <c r="I41" s="48"/>
      <c r="J41" s="48"/>
      <c r="K41" s="38" t="str">
        <f aca="false">IF(OR(I41="",J41=""),"",I41*J41)</f>
        <v/>
      </c>
      <c r="L41" s="39" t="str">
        <f aca="false">IF(K41="","",IF(K41&gt;=16,"Critical",IF(K41&gt;=10,"High",IF(K41&gt;=5,"Medium","Low"))))</f>
        <v/>
      </c>
      <c r="M41" s="46"/>
      <c r="N41" s="46"/>
      <c r="O41" s="46"/>
      <c r="P41" s="46"/>
      <c r="Q41" s="47"/>
      <c r="R41" s="48"/>
      <c r="S41" s="48"/>
      <c r="T41" s="38" t="str">
        <f aca="false">IF(OR(R41="",S41=""),"",R41*S41)</f>
        <v/>
      </c>
      <c r="U41" s="39" t="str">
        <f aca="false">IF(T41="","",IF(T41&gt;=16,"Critical",IF(T41&gt;=10,"High",IF(T41&gt;=5,"Medium","Low"))))</f>
        <v/>
      </c>
      <c r="V41" s="46"/>
      <c r="W41" s="49"/>
      <c r="X41" s="41" t="str">
        <f aca="false">IF(OR(I41="",W41=""),"",CHOOSE(I41,0.1,0.3,0.5,0.7,0.9)*W41*IF(D41="Opportunity",-1,1))</f>
        <v/>
      </c>
      <c r="Y41" s="46"/>
      <c r="Z41" s="47"/>
    </row>
    <row r="42" customFormat="false" ht="15" hidden="false" customHeight="false" outlineLevel="0" collapsed="false">
      <c r="A42" s="50"/>
      <c r="B42" s="51"/>
      <c r="C42" s="50"/>
      <c r="D42" s="50"/>
      <c r="E42" s="50"/>
      <c r="F42" s="50"/>
      <c r="G42" s="50"/>
      <c r="H42" s="50"/>
      <c r="I42" s="52"/>
      <c r="J42" s="52"/>
      <c r="K42" s="38" t="str">
        <f aca="false">IF(OR(I42="",J42=""),"",I42*J42)</f>
        <v/>
      </c>
      <c r="L42" s="39" t="str">
        <f aca="false">IF(K42="","",IF(K42&gt;=16,"Critical",IF(K42&gt;=10,"High",IF(K42&gt;=5,"Medium","Low"))))</f>
        <v/>
      </c>
      <c r="M42" s="50"/>
      <c r="N42" s="50"/>
      <c r="O42" s="50"/>
      <c r="P42" s="50"/>
      <c r="Q42" s="51"/>
      <c r="R42" s="52"/>
      <c r="S42" s="52"/>
      <c r="T42" s="38" t="str">
        <f aca="false">IF(OR(R42="",S42=""),"",R42*S42)</f>
        <v/>
      </c>
      <c r="U42" s="39" t="str">
        <f aca="false">IF(T42="","",IF(T42&gt;=16,"Critical",IF(T42&gt;=10,"High",IF(T42&gt;=5,"Medium","Low"))))</f>
        <v/>
      </c>
      <c r="V42" s="50"/>
      <c r="W42" s="53"/>
      <c r="X42" s="41" t="str">
        <f aca="false">IF(OR(I42="",W42=""),"",CHOOSE(I42,0.1,0.3,0.5,0.7,0.9)*W42*IF(D42="Opportunity",-1,1))</f>
        <v/>
      </c>
      <c r="Y42" s="50"/>
      <c r="Z42" s="51"/>
    </row>
    <row r="43" customFormat="false" ht="15" hidden="false" customHeight="false" outlineLevel="0" collapsed="false">
      <c r="A43" s="46"/>
      <c r="B43" s="47"/>
      <c r="C43" s="46"/>
      <c r="D43" s="46"/>
      <c r="E43" s="46"/>
      <c r="F43" s="46"/>
      <c r="G43" s="46"/>
      <c r="H43" s="46"/>
      <c r="I43" s="48"/>
      <c r="J43" s="48"/>
      <c r="K43" s="38" t="str">
        <f aca="false">IF(OR(I43="",J43=""),"",I43*J43)</f>
        <v/>
      </c>
      <c r="L43" s="39" t="str">
        <f aca="false">IF(K43="","",IF(K43&gt;=16,"Critical",IF(K43&gt;=10,"High",IF(K43&gt;=5,"Medium","Low"))))</f>
        <v/>
      </c>
      <c r="M43" s="46"/>
      <c r="N43" s="46"/>
      <c r="O43" s="46"/>
      <c r="P43" s="46"/>
      <c r="Q43" s="47"/>
      <c r="R43" s="48"/>
      <c r="S43" s="48"/>
      <c r="T43" s="38" t="str">
        <f aca="false">IF(OR(R43="",S43=""),"",R43*S43)</f>
        <v/>
      </c>
      <c r="U43" s="39" t="str">
        <f aca="false">IF(T43="","",IF(T43&gt;=16,"Critical",IF(T43&gt;=10,"High",IF(T43&gt;=5,"Medium","Low"))))</f>
        <v/>
      </c>
      <c r="V43" s="46"/>
      <c r="W43" s="49"/>
      <c r="X43" s="41" t="str">
        <f aca="false">IF(OR(I43="",W43=""),"",CHOOSE(I43,0.1,0.3,0.5,0.7,0.9)*W43*IF(D43="Opportunity",-1,1))</f>
        <v/>
      </c>
      <c r="Y43" s="46"/>
      <c r="Z43" s="47"/>
    </row>
    <row r="44" customFormat="false" ht="15" hidden="false" customHeight="false" outlineLevel="0" collapsed="false">
      <c r="A44" s="50"/>
      <c r="B44" s="51"/>
      <c r="C44" s="50"/>
      <c r="D44" s="50"/>
      <c r="E44" s="50"/>
      <c r="F44" s="50"/>
      <c r="G44" s="50"/>
      <c r="H44" s="50"/>
      <c r="I44" s="52"/>
      <c r="J44" s="52"/>
      <c r="K44" s="38" t="str">
        <f aca="false">IF(OR(I44="",J44=""),"",I44*J44)</f>
        <v/>
      </c>
      <c r="L44" s="39" t="str">
        <f aca="false">IF(K44="","",IF(K44&gt;=16,"Critical",IF(K44&gt;=10,"High",IF(K44&gt;=5,"Medium","Low"))))</f>
        <v/>
      </c>
      <c r="M44" s="50"/>
      <c r="N44" s="50"/>
      <c r="O44" s="50"/>
      <c r="P44" s="50"/>
      <c r="Q44" s="51"/>
      <c r="R44" s="52"/>
      <c r="S44" s="52"/>
      <c r="T44" s="38" t="str">
        <f aca="false">IF(OR(R44="",S44=""),"",R44*S44)</f>
        <v/>
      </c>
      <c r="U44" s="39" t="str">
        <f aca="false">IF(T44="","",IF(T44&gt;=16,"Critical",IF(T44&gt;=10,"High",IF(T44&gt;=5,"Medium","Low"))))</f>
        <v/>
      </c>
      <c r="V44" s="50"/>
      <c r="W44" s="53"/>
      <c r="X44" s="41" t="str">
        <f aca="false">IF(OR(I44="",W44=""),"",CHOOSE(I44,0.1,0.3,0.5,0.7,0.9)*W44*IF(D44="Opportunity",-1,1))</f>
        <v/>
      </c>
      <c r="Y44" s="50"/>
      <c r="Z44" s="51"/>
    </row>
    <row r="45" customFormat="false" ht="15" hidden="false" customHeight="false" outlineLevel="0" collapsed="false">
      <c r="A45" s="46"/>
      <c r="B45" s="47"/>
      <c r="C45" s="46"/>
      <c r="D45" s="46"/>
      <c r="E45" s="46"/>
      <c r="F45" s="46"/>
      <c r="G45" s="46"/>
      <c r="H45" s="46"/>
      <c r="I45" s="48"/>
      <c r="J45" s="48"/>
      <c r="K45" s="38" t="str">
        <f aca="false">IF(OR(I45="",J45=""),"",I45*J45)</f>
        <v/>
      </c>
      <c r="L45" s="39" t="str">
        <f aca="false">IF(K45="","",IF(K45&gt;=16,"Critical",IF(K45&gt;=10,"High",IF(K45&gt;=5,"Medium","Low"))))</f>
        <v/>
      </c>
      <c r="M45" s="46"/>
      <c r="N45" s="46"/>
      <c r="O45" s="46"/>
      <c r="P45" s="46"/>
      <c r="Q45" s="47"/>
      <c r="R45" s="48"/>
      <c r="S45" s="48"/>
      <c r="T45" s="38" t="str">
        <f aca="false">IF(OR(R45="",S45=""),"",R45*S45)</f>
        <v/>
      </c>
      <c r="U45" s="39" t="str">
        <f aca="false">IF(T45="","",IF(T45&gt;=16,"Critical",IF(T45&gt;=10,"High",IF(T45&gt;=5,"Medium","Low"))))</f>
        <v/>
      </c>
      <c r="V45" s="46"/>
      <c r="W45" s="49"/>
      <c r="X45" s="41" t="str">
        <f aca="false">IF(OR(I45="",W45=""),"",CHOOSE(I45,0.1,0.3,0.5,0.7,0.9)*W45*IF(D45="Opportunity",-1,1))</f>
        <v/>
      </c>
      <c r="Y45" s="46"/>
      <c r="Z45" s="47"/>
    </row>
    <row r="46" customFormat="false" ht="15" hidden="false" customHeight="false" outlineLevel="0" collapsed="false">
      <c r="A46" s="50"/>
      <c r="B46" s="51"/>
      <c r="C46" s="50"/>
      <c r="D46" s="50"/>
      <c r="E46" s="50"/>
      <c r="F46" s="50"/>
      <c r="G46" s="50"/>
      <c r="H46" s="50"/>
      <c r="I46" s="52"/>
      <c r="J46" s="52"/>
      <c r="K46" s="38" t="str">
        <f aca="false">IF(OR(I46="",J46=""),"",I46*J46)</f>
        <v/>
      </c>
      <c r="L46" s="39" t="str">
        <f aca="false">IF(K46="","",IF(K46&gt;=16,"Critical",IF(K46&gt;=10,"High",IF(K46&gt;=5,"Medium","Low"))))</f>
        <v/>
      </c>
      <c r="M46" s="50"/>
      <c r="N46" s="50"/>
      <c r="O46" s="50"/>
      <c r="P46" s="50"/>
      <c r="Q46" s="51"/>
      <c r="R46" s="52"/>
      <c r="S46" s="52"/>
      <c r="T46" s="38" t="str">
        <f aca="false">IF(OR(R46="",S46=""),"",R46*S46)</f>
        <v/>
      </c>
      <c r="U46" s="39" t="str">
        <f aca="false">IF(T46="","",IF(T46&gt;=16,"Critical",IF(T46&gt;=10,"High",IF(T46&gt;=5,"Medium","Low"))))</f>
        <v/>
      </c>
      <c r="V46" s="50"/>
      <c r="W46" s="53"/>
      <c r="X46" s="41" t="str">
        <f aca="false">IF(OR(I46="",W46=""),"",CHOOSE(I46,0.1,0.3,0.5,0.7,0.9)*W46*IF(D46="Opportunity",-1,1))</f>
        <v/>
      </c>
      <c r="Y46" s="50"/>
      <c r="Z46" s="51"/>
    </row>
    <row r="47" customFormat="false" ht="15" hidden="false" customHeight="false" outlineLevel="0" collapsed="false">
      <c r="A47" s="46"/>
      <c r="B47" s="47"/>
      <c r="C47" s="46"/>
      <c r="D47" s="46"/>
      <c r="E47" s="46"/>
      <c r="F47" s="46"/>
      <c r="G47" s="46"/>
      <c r="H47" s="46"/>
      <c r="I47" s="48"/>
      <c r="J47" s="48"/>
      <c r="K47" s="38" t="str">
        <f aca="false">IF(OR(I47="",J47=""),"",I47*J47)</f>
        <v/>
      </c>
      <c r="L47" s="39" t="str">
        <f aca="false">IF(K47="","",IF(K47&gt;=16,"Critical",IF(K47&gt;=10,"High",IF(K47&gt;=5,"Medium","Low"))))</f>
        <v/>
      </c>
      <c r="M47" s="46"/>
      <c r="N47" s="46"/>
      <c r="O47" s="46"/>
      <c r="P47" s="46"/>
      <c r="Q47" s="47"/>
      <c r="R47" s="48"/>
      <c r="S47" s="48"/>
      <c r="T47" s="38" t="str">
        <f aca="false">IF(OR(R47="",S47=""),"",R47*S47)</f>
        <v/>
      </c>
      <c r="U47" s="39" t="str">
        <f aca="false">IF(T47="","",IF(T47&gt;=16,"Critical",IF(T47&gt;=10,"High",IF(T47&gt;=5,"Medium","Low"))))</f>
        <v/>
      </c>
      <c r="V47" s="46"/>
      <c r="W47" s="49"/>
      <c r="X47" s="41" t="str">
        <f aca="false">IF(OR(I47="",W47=""),"",CHOOSE(I47,0.1,0.3,0.5,0.7,0.9)*W47*IF(D47="Opportunity",-1,1))</f>
        <v/>
      </c>
      <c r="Y47" s="46"/>
      <c r="Z47" s="47"/>
    </row>
    <row r="48" customFormat="false" ht="15" hidden="false" customHeight="false" outlineLevel="0" collapsed="false">
      <c r="A48" s="50"/>
      <c r="B48" s="51"/>
      <c r="C48" s="50"/>
      <c r="D48" s="50"/>
      <c r="E48" s="50"/>
      <c r="F48" s="50"/>
      <c r="G48" s="50"/>
      <c r="H48" s="50"/>
      <c r="I48" s="52"/>
      <c r="J48" s="52"/>
      <c r="K48" s="38" t="str">
        <f aca="false">IF(OR(I48="",J48=""),"",I48*J48)</f>
        <v/>
      </c>
      <c r="L48" s="39" t="str">
        <f aca="false">IF(K48="","",IF(K48&gt;=16,"Critical",IF(K48&gt;=10,"High",IF(K48&gt;=5,"Medium","Low"))))</f>
        <v/>
      </c>
      <c r="M48" s="50"/>
      <c r="N48" s="50"/>
      <c r="O48" s="50"/>
      <c r="P48" s="50"/>
      <c r="Q48" s="51"/>
      <c r="R48" s="52"/>
      <c r="S48" s="52"/>
      <c r="T48" s="38" t="str">
        <f aca="false">IF(OR(R48="",S48=""),"",R48*S48)</f>
        <v/>
      </c>
      <c r="U48" s="39" t="str">
        <f aca="false">IF(T48="","",IF(T48&gt;=16,"Critical",IF(T48&gt;=10,"High",IF(T48&gt;=5,"Medium","Low"))))</f>
        <v/>
      </c>
      <c r="V48" s="50"/>
      <c r="W48" s="53"/>
      <c r="X48" s="41" t="str">
        <f aca="false">IF(OR(I48="",W48=""),"",CHOOSE(I48,0.1,0.3,0.5,0.7,0.9)*W48*IF(D48="Opportunity",-1,1))</f>
        <v/>
      </c>
      <c r="Y48" s="50"/>
      <c r="Z48" s="51"/>
    </row>
    <row r="49" customFormat="false" ht="15" hidden="false" customHeight="false" outlineLevel="0" collapsed="false">
      <c r="A49" s="46"/>
      <c r="B49" s="47"/>
      <c r="C49" s="46"/>
      <c r="D49" s="46"/>
      <c r="E49" s="46"/>
      <c r="F49" s="46"/>
      <c r="G49" s="46"/>
      <c r="H49" s="46"/>
      <c r="I49" s="48"/>
      <c r="J49" s="48"/>
      <c r="K49" s="38" t="str">
        <f aca="false">IF(OR(I49="",J49=""),"",I49*J49)</f>
        <v/>
      </c>
      <c r="L49" s="39" t="str">
        <f aca="false">IF(K49="","",IF(K49&gt;=16,"Critical",IF(K49&gt;=10,"High",IF(K49&gt;=5,"Medium","Low"))))</f>
        <v/>
      </c>
      <c r="M49" s="46"/>
      <c r="N49" s="46"/>
      <c r="O49" s="46"/>
      <c r="P49" s="46"/>
      <c r="Q49" s="47"/>
      <c r="R49" s="48"/>
      <c r="S49" s="48"/>
      <c r="T49" s="38" t="str">
        <f aca="false">IF(OR(R49="",S49=""),"",R49*S49)</f>
        <v/>
      </c>
      <c r="U49" s="39" t="str">
        <f aca="false">IF(T49="","",IF(T49&gt;=16,"Critical",IF(T49&gt;=10,"High",IF(T49&gt;=5,"Medium","Low"))))</f>
        <v/>
      </c>
      <c r="V49" s="46"/>
      <c r="W49" s="49"/>
      <c r="X49" s="41" t="str">
        <f aca="false">IF(OR(I49="",W49=""),"",CHOOSE(I49,0.1,0.3,0.5,0.7,0.9)*W49*IF(D49="Opportunity",-1,1))</f>
        <v/>
      </c>
      <c r="Y49" s="46"/>
      <c r="Z49" s="47"/>
    </row>
    <row r="50" customFormat="false" ht="15" hidden="false" customHeight="false" outlineLevel="0" collapsed="false">
      <c r="A50" s="50"/>
      <c r="B50" s="51"/>
      <c r="C50" s="50"/>
      <c r="D50" s="50"/>
      <c r="E50" s="50"/>
      <c r="F50" s="50"/>
      <c r="G50" s="50"/>
      <c r="H50" s="50"/>
      <c r="I50" s="52"/>
      <c r="J50" s="52"/>
      <c r="K50" s="38" t="str">
        <f aca="false">IF(OR(I50="",J50=""),"",I50*J50)</f>
        <v/>
      </c>
      <c r="L50" s="39" t="str">
        <f aca="false">IF(K50="","",IF(K50&gt;=16,"Critical",IF(K50&gt;=10,"High",IF(K50&gt;=5,"Medium","Low"))))</f>
        <v/>
      </c>
      <c r="M50" s="50"/>
      <c r="N50" s="50"/>
      <c r="O50" s="50"/>
      <c r="P50" s="50"/>
      <c r="Q50" s="51"/>
      <c r="R50" s="52"/>
      <c r="S50" s="52"/>
      <c r="T50" s="38" t="str">
        <f aca="false">IF(OR(R50="",S50=""),"",R50*S50)</f>
        <v/>
      </c>
      <c r="U50" s="39" t="str">
        <f aca="false">IF(T50="","",IF(T50&gt;=16,"Critical",IF(T50&gt;=10,"High",IF(T50&gt;=5,"Medium","Low"))))</f>
        <v/>
      </c>
      <c r="V50" s="50"/>
      <c r="W50" s="53"/>
      <c r="X50" s="41" t="str">
        <f aca="false">IF(OR(I50="",W50=""),"",CHOOSE(I50,0.1,0.3,0.5,0.7,0.9)*W50*IF(D50="Opportunity",-1,1))</f>
        <v/>
      </c>
      <c r="Y50" s="50"/>
      <c r="Z50" s="51"/>
    </row>
    <row r="51" customFormat="false" ht="15" hidden="false" customHeight="false" outlineLevel="0" collapsed="false">
      <c r="A51" s="46"/>
      <c r="B51" s="47"/>
      <c r="C51" s="46"/>
      <c r="D51" s="46"/>
      <c r="E51" s="46"/>
      <c r="F51" s="46"/>
      <c r="G51" s="46"/>
      <c r="H51" s="46"/>
      <c r="I51" s="48"/>
      <c r="J51" s="48"/>
      <c r="K51" s="38" t="str">
        <f aca="false">IF(OR(I51="",J51=""),"",I51*J51)</f>
        <v/>
      </c>
      <c r="L51" s="39" t="str">
        <f aca="false">IF(K51="","",IF(K51&gt;=16,"Critical",IF(K51&gt;=10,"High",IF(K51&gt;=5,"Medium","Low"))))</f>
        <v/>
      </c>
      <c r="M51" s="46"/>
      <c r="N51" s="46"/>
      <c r="O51" s="46"/>
      <c r="P51" s="46"/>
      <c r="Q51" s="47"/>
      <c r="R51" s="48"/>
      <c r="S51" s="48"/>
      <c r="T51" s="38" t="str">
        <f aca="false">IF(OR(R51="",S51=""),"",R51*S51)</f>
        <v/>
      </c>
      <c r="U51" s="39" t="str">
        <f aca="false">IF(T51="","",IF(T51&gt;=16,"Critical",IF(T51&gt;=10,"High",IF(T51&gt;=5,"Medium","Low"))))</f>
        <v/>
      </c>
      <c r="V51" s="46"/>
      <c r="W51" s="49"/>
      <c r="X51" s="41" t="str">
        <f aca="false">IF(OR(I51="",W51=""),"",CHOOSE(I51,0.1,0.3,0.5,0.7,0.9)*W51*IF(D51="Opportunity",-1,1))</f>
        <v/>
      </c>
      <c r="Y51" s="46"/>
      <c r="Z51" s="47"/>
    </row>
    <row r="52" customFormat="false" ht="15" hidden="false" customHeight="false" outlineLevel="0" collapsed="false">
      <c r="A52" s="50"/>
      <c r="B52" s="51"/>
      <c r="C52" s="50"/>
      <c r="D52" s="50"/>
      <c r="E52" s="50"/>
      <c r="F52" s="50"/>
      <c r="G52" s="50"/>
      <c r="H52" s="50"/>
      <c r="I52" s="52"/>
      <c r="J52" s="52"/>
      <c r="K52" s="38" t="str">
        <f aca="false">IF(OR(I52="",J52=""),"",I52*J52)</f>
        <v/>
      </c>
      <c r="L52" s="39" t="str">
        <f aca="false">IF(K52="","",IF(K52&gt;=16,"Critical",IF(K52&gt;=10,"High",IF(K52&gt;=5,"Medium","Low"))))</f>
        <v/>
      </c>
      <c r="M52" s="50"/>
      <c r="N52" s="50"/>
      <c r="O52" s="50"/>
      <c r="P52" s="50"/>
      <c r="Q52" s="51"/>
      <c r="R52" s="52"/>
      <c r="S52" s="52"/>
      <c r="T52" s="38" t="str">
        <f aca="false">IF(OR(R52="",S52=""),"",R52*S52)</f>
        <v/>
      </c>
      <c r="U52" s="39" t="str">
        <f aca="false">IF(T52="","",IF(T52&gt;=16,"Critical",IF(T52&gt;=10,"High",IF(T52&gt;=5,"Medium","Low"))))</f>
        <v/>
      </c>
      <c r="V52" s="50"/>
      <c r="W52" s="53"/>
      <c r="X52" s="41" t="str">
        <f aca="false">IF(OR(I52="",W52=""),"",CHOOSE(I52,0.1,0.3,0.5,0.7,0.9)*W52*IF(D52="Opportunity",-1,1))</f>
        <v/>
      </c>
      <c r="Y52" s="50"/>
      <c r="Z52" s="51"/>
    </row>
    <row r="53" customFormat="false" ht="15" hidden="false" customHeight="false" outlineLevel="0" collapsed="false">
      <c r="A53" s="46"/>
      <c r="B53" s="47"/>
      <c r="C53" s="46"/>
      <c r="D53" s="46"/>
      <c r="E53" s="46"/>
      <c r="F53" s="46"/>
      <c r="G53" s="46"/>
      <c r="H53" s="46"/>
      <c r="I53" s="48"/>
      <c r="J53" s="48"/>
      <c r="K53" s="38" t="str">
        <f aca="false">IF(OR(I53="",J53=""),"",I53*J53)</f>
        <v/>
      </c>
      <c r="L53" s="39" t="str">
        <f aca="false">IF(K53="","",IF(K53&gt;=16,"Critical",IF(K53&gt;=10,"High",IF(K53&gt;=5,"Medium","Low"))))</f>
        <v/>
      </c>
      <c r="M53" s="46"/>
      <c r="N53" s="46"/>
      <c r="O53" s="46"/>
      <c r="P53" s="46"/>
      <c r="Q53" s="47"/>
      <c r="R53" s="48"/>
      <c r="S53" s="48"/>
      <c r="T53" s="38" t="str">
        <f aca="false">IF(OR(R53="",S53=""),"",R53*S53)</f>
        <v/>
      </c>
      <c r="U53" s="39" t="str">
        <f aca="false">IF(T53="","",IF(T53&gt;=16,"Critical",IF(T53&gt;=10,"High",IF(T53&gt;=5,"Medium","Low"))))</f>
        <v/>
      </c>
      <c r="V53" s="46"/>
      <c r="W53" s="49"/>
      <c r="X53" s="41" t="str">
        <f aca="false">IF(OR(I53="",W53=""),"",CHOOSE(I53,0.1,0.3,0.5,0.7,0.9)*W53*IF(D53="Opportunity",-1,1))</f>
        <v/>
      </c>
      <c r="Y53" s="46"/>
      <c r="Z53" s="47"/>
    </row>
    <row r="54" customFormat="false" ht="15" hidden="false" customHeight="false" outlineLevel="0" collapsed="false">
      <c r="A54" s="50"/>
      <c r="B54" s="51"/>
      <c r="C54" s="50"/>
      <c r="D54" s="50"/>
      <c r="E54" s="50"/>
      <c r="F54" s="50"/>
      <c r="G54" s="50"/>
      <c r="H54" s="50"/>
      <c r="I54" s="52"/>
      <c r="J54" s="52"/>
      <c r="K54" s="38" t="str">
        <f aca="false">IF(OR(I54="",J54=""),"",I54*J54)</f>
        <v/>
      </c>
      <c r="L54" s="39" t="str">
        <f aca="false">IF(K54="","",IF(K54&gt;=16,"Critical",IF(K54&gt;=10,"High",IF(K54&gt;=5,"Medium","Low"))))</f>
        <v/>
      </c>
      <c r="M54" s="50"/>
      <c r="N54" s="50"/>
      <c r="O54" s="50"/>
      <c r="P54" s="50"/>
      <c r="Q54" s="51"/>
      <c r="R54" s="52"/>
      <c r="S54" s="52"/>
      <c r="T54" s="38" t="str">
        <f aca="false">IF(OR(R54="",S54=""),"",R54*S54)</f>
        <v/>
      </c>
      <c r="U54" s="39" t="str">
        <f aca="false">IF(T54="","",IF(T54&gt;=16,"Critical",IF(T54&gt;=10,"High",IF(T54&gt;=5,"Medium","Low"))))</f>
        <v/>
      </c>
      <c r="V54" s="50"/>
      <c r="W54" s="53"/>
      <c r="X54" s="41" t="str">
        <f aca="false">IF(OR(I54="",W54=""),"",CHOOSE(I54,0.1,0.3,0.5,0.7,0.9)*W54*IF(D54="Opportunity",-1,1))</f>
        <v/>
      </c>
      <c r="Y54" s="50"/>
      <c r="Z54" s="51"/>
    </row>
    <row r="55" customFormat="false" ht="15" hidden="false" customHeight="false" outlineLevel="0" collapsed="false">
      <c r="A55" s="46"/>
      <c r="B55" s="47"/>
      <c r="C55" s="46"/>
      <c r="D55" s="46"/>
      <c r="E55" s="46"/>
      <c r="F55" s="46"/>
      <c r="G55" s="46"/>
      <c r="H55" s="46"/>
      <c r="I55" s="48"/>
      <c r="J55" s="48"/>
      <c r="K55" s="38" t="str">
        <f aca="false">IF(OR(I55="",J55=""),"",I55*J55)</f>
        <v/>
      </c>
      <c r="L55" s="39" t="str">
        <f aca="false">IF(K55="","",IF(K55&gt;=16,"Critical",IF(K55&gt;=10,"High",IF(K55&gt;=5,"Medium","Low"))))</f>
        <v/>
      </c>
      <c r="M55" s="46"/>
      <c r="N55" s="46"/>
      <c r="O55" s="46"/>
      <c r="P55" s="46"/>
      <c r="Q55" s="47"/>
      <c r="R55" s="48"/>
      <c r="S55" s="48"/>
      <c r="T55" s="38" t="str">
        <f aca="false">IF(OR(R55="",S55=""),"",R55*S55)</f>
        <v/>
      </c>
      <c r="U55" s="39" t="str">
        <f aca="false">IF(T55="","",IF(T55&gt;=16,"Critical",IF(T55&gt;=10,"High",IF(T55&gt;=5,"Medium","Low"))))</f>
        <v/>
      </c>
      <c r="V55" s="46"/>
      <c r="W55" s="49"/>
      <c r="X55" s="41" t="str">
        <f aca="false">IF(OR(I55="",W55=""),"",CHOOSE(I55,0.1,0.3,0.5,0.7,0.9)*W55*IF(D55="Opportunity",-1,1))</f>
        <v/>
      </c>
      <c r="Y55" s="46"/>
      <c r="Z55" s="47"/>
    </row>
    <row r="56" customFormat="false" ht="15" hidden="false" customHeight="false" outlineLevel="0" collapsed="false">
      <c r="A56" s="50"/>
      <c r="B56" s="51"/>
      <c r="C56" s="50"/>
      <c r="D56" s="50"/>
      <c r="E56" s="50"/>
      <c r="F56" s="50"/>
      <c r="G56" s="50"/>
      <c r="H56" s="50"/>
      <c r="I56" s="52"/>
      <c r="J56" s="52"/>
      <c r="K56" s="38" t="str">
        <f aca="false">IF(OR(I56="",J56=""),"",I56*J56)</f>
        <v/>
      </c>
      <c r="L56" s="39" t="str">
        <f aca="false">IF(K56="","",IF(K56&gt;=16,"Critical",IF(K56&gt;=10,"High",IF(K56&gt;=5,"Medium","Low"))))</f>
        <v/>
      </c>
      <c r="M56" s="50"/>
      <c r="N56" s="50"/>
      <c r="O56" s="50"/>
      <c r="P56" s="50"/>
      <c r="Q56" s="51"/>
      <c r="R56" s="52"/>
      <c r="S56" s="52"/>
      <c r="T56" s="38" t="str">
        <f aca="false">IF(OR(R56="",S56=""),"",R56*S56)</f>
        <v/>
      </c>
      <c r="U56" s="39" t="str">
        <f aca="false">IF(T56="","",IF(T56&gt;=16,"Critical",IF(T56&gt;=10,"High",IF(T56&gt;=5,"Medium","Low"))))</f>
        <v/>
      </c>
      <c r="V56" s="50"/>
      <c r="W56" s="53"/>
      <c r="X56" s="41" t="str">
        <f aca="false">IF(OR(I56="",W56=""),"",CHOOSE(I56,0.1,0.3,0.5,0.7,0.9)*W56*IF(D56="Opportunity",-1,1))</f>
        <v/>
      </c>
      <c r="Y56" s="50"/>
      <c r="Z56" s="51"/>
    </row>
    <row r="57" customFormat="false" ht="15" hidden="false" customHeight="false" outlineLevel="0" collapsed="false">
      <c r="A57" s="46"/>
      <c r="B57" s="47"/>
      <c r="C57" s="46"/>
      <c r="D57" s="46"/>
      <c r="E57" s="46"/>
      <c r="F57" s="46"/>
      <c r="G57" s="46"/>
      <c r="H57" s="46"/>
      <c r="I57" s="48"/>
      <c r="J57" s="48"/>
      <c r="K57" s="38" t="str">
        <f aca="false">IF(OR(I57="",J57=""),"",I57*J57)</f>
        <v/>
      </c>
      <c r="L57" s="39" t="str">
        <f aca="false">IF(K57="","",IF(K57&gt;=16,"Critical",IF(K57&gt;=10,"High",IF(K57&gt;=5,"Medium","Low"))))</f>
        <v/>
      </c>
      <c r="M57" s="46"/>
      <c r="N57" s="46"/>
      <c r="O57" s="46"/>
      <c r="P57" s="46"/>
      <c r="Q57" s="47"/>
      <c r="R57" s="48"/>
      <c r="S57" s="48"/>
      <c r="T57" s="38" t="str">
        <f aca="false">IF(OR(R57="",S57=""),"",R57*S57)</f>
        <v/>
      </c>
      <c r="U57" s="39" t="str">
        <f aca="false">IF(T57="","",IF(T57&gt;=16,"Critical",IF(T57&gt;=10,"High",IF(T57&gt;=5,"Medium","Low"))))</f>
        <v/>
      </c>
      <c r="V57" s="46"/>
      <c r="W57" s="49"/>
      <c r="X57" s="41" t="str">
        <f aca="false">IF(OR(I57="",W57=""),"",CHOOSE(I57,0.1,0.3,0.5,0.7,0.9)*W57*IF(D57="Opportunity",-1,1))</f>
        <v/>
      </c>
      <c r="Y57" s="46"/>
      <c r="Z57" s="47"/>
    </row>
    <row r="58" customFormat="false" ht="15" hidden="false" customHeight="false" outlineLevel="0" collapsed="false">
      <c r="A58" s="50"/>
      <c r="B58" s="51"/>
      <c r="C58" s="50"/>
      <c r="D58" s="50"/>
      <c r="E58" s="50"/>
      <c r="F58" s="50"/>
      <c r="G58" s="50"/>
      <c r="H58" s="50"/>
      <c r="I58" s="52"/>
      <c r="J58" s="52"/>
      <c r="K58" s="38" t="str">
        <f aca="false">IF(OR(I58="",J58=""),"",I58*J58)</f>
        <v/>
      </c>
      <c r="L58" s="39" t="str">
        <f aca="false">IF(K58="","",IF(K58&gt;=16,"Critical",IF(K58&gt;=10,"High",IF(K58&gt;=5,"Medium","Low"))))</f>
        <v/>
      </c>
      <c r="M58" s="50"/>
      <c r="N58" s="50"/>
      <c r="O58" s="50"/>
      <c r="P58" s="50"/>
      <c r="Q58" s="51"/>
      <c r="R58" s="52"/>
      <c r="S58" s="52"/>
      <c r="T58" s="38" t="str">
        <f aca="false">IF(OR(R58="",S58=""),"",R58*S58)</f>
        <v/>
      </c>
      <c r="U58" s="39" t="str">
        <f aca="false">IF(T58="","",IF(T58&gt;=16,"Critical",IF(T58&gt;=10,"High",IF(T58&gt;=5,"Medium","Low"))))</f>
        <v/>
      </c>
      <c r="V58" s="50"/>
      <c r="W58" s="53"/>
      <c r="X58" s="41" t="str">
        <f aca="false">IF(OR(I58="",W58=""),"",CHOOSE(I58,0.1,0.3,0.5,0.7,0.9)*W58*IF(D58="Opportunity",-1,1))</f>
        <v/>
      </c>
      <c r="Y58" s="50"/>
      <c r="Z58" s="51"/>
    </row>
    <row r="59" customFormat="false" ht="15" hidden="false" customHeight="false" outlineLevel="0" collapsed="false">
      <c r="A59" s="46"/>
      <c r="B59" s="47"/>
      <c r="C59" s="46"/>
      <c r="D59" s="46"/>
      <c r="E59" s="46"/>
      <c r="F59" s="46"/>
      <c r="G59" s="46"/>
      <c r="H59" s="46"/>
      <c r="I59" s="48"/>
      <c r="J59" s="48"/>
      <c r="K59" s="38" t="str">
        <f aca="false">IF(OR(I59="",J59=""),"",I59*J59)</f>
        <v/>
      </c>
      <c r="L59" s="39" t="str">
        <f aca="false">IF(K59="","",IF(K59&gt;=16,"Critical",IF(K59&gt;=10,"High",IF(K59&gt;=5,"Medium","Low"))))</f>
        <v/>
      </c>
      <c r="M59" s="46"/>
      <c r="N59" s="46"/>
      <c r="O59" s="46"/>
      <c r="P59" s="46"/>
      <c r="Q59" s="47"/>
      <c r="R59" s="48"/>
      <c r="S59" s="48"/>
      <c r="T59" s="38" t="str">
        <f aca="false">IF(OR(R59="",S59=""),"",R59*S59)</f>
        <v/>
      </c>
      <c r="U59" s="39" t="str">
        <f aca="false">IF(T59="","",IF(T59&gt;=16,"Critical",IF(T59&gt;=10,"High",IF(T59&gt;=5,"Medium","Low"))))</f>
        <v/>
      </c>
      <c r="V59" s="46"/>
      <c r="W59" s="49"/>
      <c r="X59" s="41" t="str">
        <f aca="false">IF(OR(I59="",W59=""),"",CHOOSE(I59,0.1,0.3,0.5,0.7,0.9)*W59*IF(D59="Opportunity",-1,1))</f>
        <v/>
      </c>
      <c r="Y59" s="46"/>
      <c r="Z59" s="47"/>
    </row>
    <row r="60" customFormat="false" ht="15" hidden="false" customHeight="false" outlineLevel="0" collapsed="false">
      <c r="A60" s="50"/>
      <c r="B60" s="51"/>
      <c r="C60" s="50"/>
      <c r="D60" s="50"/>
      <c r="E60" s="50"/>
      <c r="F60" s="50"/>
      <c r="G60" s="50"/>
      <c r="H60" s="50"/>
      <c r="I60" s="52"/>
      <c r="J60" s="52"/>
      <c r="K60" s="38" t="str">
        <f aca="false">IF(OR(I60="",J60=""),"",I60*J60)</f>
        <v/>
      </c>
      <c r="L60" s="39" t="str">
        <f aca="false">IF(K60="","",IF(K60&gt;=16,"Critical",IF(K60&gt;=10,"High",IF(K60&gt;=5,"Medium","Low"))))</f>
        <v/>
      </c>
      <c r="M60" s="50"/>
      <c r="N60" s="50"/>
      <c r="O60" s="50"/>
      <c r="P60" s="50"/>
      <c r="Q60" s="51"/>
      <c r="R60" s="52"/>
      <c r="S60" s="52"/>
      <c r="T60" s="38" t="str">
        <f aca="false">IF(OR(R60="",S60=""),"",R60*S60)</f>
        <v/>
      </c>
      <c r="U60" s="39" t="str">
        <f aca="false">IF(T60="","",IF(T60&gt;=16,"Critical",IF(T60&gt;=10,"High",IF(T60&gt;=5,"Medium","Low"))))</f>
        <v/>
      </c>
      <c r="V60" s="50"/>
      <c r="W60" s="53"/>
      <c r="X60" s="41" t="str">
        <f aca="false">IF(OR(I60="",W60=""),"",CHOOSE(I60,0.1,0.3,0.5,0.7,0.9)*W60*IF(D60="Opportunity",-1,1))</f>
        <v/>
      </c>
      <c r="Y60" s="50"/>
      <c r="Z60" s="51"/>
    </row>
    <row r="61" customFormat="false" ht="15" hidden="false" customHeight="false" outlineLevel="0" collapsed="false">
      <c r="A61" s="46"/>
      <c r="B61" s="47"/>
      <c r="C61" s="46"/>
      <c r="D61" s="46"/>
      <c r="E61" s="46"/>
      <c r="F61" s="46"/>
      <c r="G61" s="46"/>
      <c r="H61" s="46"/>
      <c r="I61" s="48"/>
      <c r="J61" s="48"/>
      <c r="K61" s="38" t="str">
        <f aca="false">IF(OR(I61="",J61=""),"",I61*J61)</f>
        <v/>
      </c>
      <c r="L61" s="39" t="str">
        <f aca="false">IF(K61="","",IF(K61&gt;=16,"Critical",IF(K61&gt;=10,"High",IF(K61&gt;=5,"Medium","Low"))))</f>
        <v/>
      </c>
      <c r="M61" s="46"/>
      <c r="N61" s="46"/>
      <c r="O61" s="46"/>
      <c r="P61" s="46"/>
      <c r="Q61" s="47"/>
      <c r="R61" s="48"/>
      <c r="S61" s="48"/>
      <c r="T61" s="38" t="str">
        <f aca="false">IF(OR(R61="",S61=""),"",R61*S61)</f>
        <v/>
      </c>
      <c r="U61" s="39" t="str">
        <f aca="false">IF(T61="","",IF(T61&gt;=16,"Critical",IF(T61&gt;=10,"High",IF(T61&gt;=5,"Medium","Low"))))</f>
        <v/>
      </c>
      <c r="V61" s="46"/>
      <c r="W61" s="49"/>
      <c r="X61" s="41" t="str">
        <f aca="false">IF(OR(I61="",W61=""),"",CHOOSE(I61,0.1,0.3,0.5,0.7,0.9)*W61*IF(D61="Opportunity",-1,1))</f>
        <v/>
      </c>
      <c r="Y61" s="46"/>
      <c r="Z61" s="47"/>
    </row>
    <row r="62" customFormat="false" ht="15" hidden="false" customHeight="false" outlineLevel="0" collapsed="false">
      <c r="A62" s="50"/>
      <c r="B62" s="51"/>
      <c r="C62" s="50"/>
      <c r="D62" s="50"/>
      <c r="E62" s="50"/>
      <c r="F62" s="50"/>
      <c r="G62" s="50"/>
      <c r="H62" s="50"/>
      <c r="I62" s="52"/>
      <c r="J62" s="52"/>
      <c r="K62" s="38" t="str">
        <f aca="false">IF(OR(I62="",J62=""),"",I62*J62)</f>
        <v/>
      </c>
      <c r="L62" s="39" t="str">
        <f aca="false">IF(K62="","",IF(K62&gt;=16,"Critical",IF(K62&gt;=10,"High",IF(K62&gt;=5,"Medium","Low"))))</f>
        <v/>
      </c>
      <c r="M62" s="50"/>
      <c r="N62" s="50"/>
      <c r="O62" s="50"/>
      <c r="P62" s="50"/>
      <c r="Q62" s="51"/>
      <c r="R62" s="52"/>
      <c r="S62" s="52"/>
      <c r="T62" s="38" t="str">
        <f aca="false">IF(OR(R62="",S62=""),"",R62*S62)</f>
        <v/>
      </c>
      <c r="U62" s="39" t="str">
        <f aca="false">IF(T62="","",IF(T62&gt;=16,"Critical",IF(T62&gt;=10,"High",IF(T62&gt;=5,"Medium","Low"))))</f>
        <v/>
      </c>
      <c r="V62" s="50"/>
      <c r="W62" s="53"/>
      <c r="X62" s="41" t="str">
        <f aca="false">IF(OR(I62="",W62=""),"",CHOOSE(I62,0.1,0.3,0.5,0.7,0.9)*W62*IF(D62="Opportunity",-1,1))</f>
        <v/>
      </c>
      <c r="Y62" s="50"/>
      <c r="Z62" s="51"/>
    </row>
    <row r="63" customFormat="false" ht="15" hidden="false" customHeight="false" outlineLevel="0" collapsed="false">
      <c r="A63" s="46"/>
      <c r="B63" s="47"/>
      <c r="C63" s="46"/>
      <c r="D63" s="46"/>
      <c r="E63" s="46"/>
      <c r="F63" s="46"/>
      <c r="G63" s="46"/>
      <c r="H63" s="46"/>
      <c r="I63" s="48"/>
      <c r="J63" s="48"/>
      <c r="K63" s="38" t="str">
        <f aca="false">IF(OR(I63="",J63=""),"",I63*J63)</f>
        <v/>
      </c>
      <c r="L63" s="39" t="str">
        <f aca="false">IF(K63="","",IF(K63&gt;=16,"Critical",IF(K63&gt;=10,"High",IF(K63&gt;=5,"Medium","Low"))))</f>
        <v/>
      </c>
      <c r="M63" s="46"/>
      <c r="N63" s="46"/>
      <c r="O63" s="46"/>
      <c r="P63" s="46"/>
      <c r="Q63" s="47"/>
      <c r="R63" s="48"/>
      <c r="S63" s="48"/>
      <c r="T63" s="38" t="str">
        <f aca="false">IF(OR(R63="",S63=""),"",R63*S63)</f>
        <v/>
      </c>
      <c r="U63" s="39" t="str">
        <f aca="false">IF(T63="","",IF(T63&gt;=16,"Critical",IF(T63&gt;=10,"High",IF(T63&gt;=5,"Medium","Low"))))</f>
        <v/>
      </c>
      <c r="V63" s="46"/>
      <c r="W63" s="49"/>
      <c r="X63" s="41" t="str">
        <f aca="false">IF(OR(I63="",W63=""),"",CHOOSE(I63,0.1,0.3,0.5,0.7,0.9)*W63*IF(D63="Opportunity",-1,1))</f>
        <v/>
      </c>
      <c r="Y63" s="46"/>
      <c r="Z63" s="47"/>
    </row>
    <row r="64" customFormat="false" ht="15" hidden="false" customHeight="false" outlineLevel="0" collapsed="false">
      <c r="A64" s="50"/>
      <c r="B64" s="51"/>
      <c r="C64" s="50"/>
      <c r="D64" s="50"/>
      <c r="E64" s="50"/>
      <c r="F64" s="50"/>
      <c r="G64" s="50"/>
      <c r="H64" s="50"/>
      <c r="I64" s="52"/>
      <c r="J64" s="52"/>
      <c r="K64" s="38" t="str">
        <f aca="false">IF(OR(I64="",J64=""),"",I64*J64)</f>
        <v/>
      </c>
      <c r="L64" s="39" t="str">
        <f aca="false">IF(K64="","",IF(K64&gt;=16,"Critical",IF(K64&gt;=10,"High",IF(K64&gt;=5,"Medium","Low"))))</f>
        <v/>
      </c>
      <c r="M64" s="50"/>
      <c r="N64" s="50"/>
      <c r="O64" s="50"/>
      <c r="P64" s="50"/>
      <c r="Q64" s="51"/>
      <c r="R64" s="52"/>
      <c r="S64" s="52"/>
      <c r="T64" s="38" t="str">
        <f aca="false">IF(OR(R64="",S64=""),"",R64*S64)</f>
        <v/>
      </c>
      <c r="U64" s="39" t="str">
        <f aca="false">IF(T64="","",IF(T64&gt;=16,"Critical",IF(T64&gt;=10,"High",IF(T64&gt;=5,"Medium","Low"))))</f>
        <v/>
      </c>
      <c r="V64" s="50"/>
      <c r="W64" s="53"/>
      <c r="X64" s="41" t="str">
        <f aca="false">IF(OR(I64="",W64=""),"",CHOOSE(I64,0.1,0.3,0.5,0.7,0.9)*W64*IF(D64="Opportunity",-1,1))</f>
        <v/>
      </c>
      <c r="Y64" s="50"/>
      <c r="Z64" s="51"/>
    </row>
    <row r="65" customFormat="false" ht="15" hidden="false" customHeight="false" outlineLevel="0" collapsed="false">
      <c r="A65" s="46"/>
      <c r="B65" s="47"/>
      <c r="C65" s="46"/>
      <c r="D65" s="46"/>
      <c r="E65" s="46"/>
      <c r="F65" s="46"/>
      <c r="G65" s="46"/>
      <c r="H65" s="46"/>
      <c r="I65" s="48"/>
      <c r="J65" s="48"/>
      <c r="K65" s="38" t="str">
        <f aca="false">IF(OR(I65="",J65=""),"",I65*J65)</f>
        <v/>
      </c>
      <c r="L65" s="39" t="str">
        <f aca="false">IF(K65="","",IF(K65&gt;=16,"Critical",IF(K65&gt;=10,"High",IF(K65&gt;=5,"Medium","Low"))))</f>
        <v/>
      </c>
      <c r="M65" s="46"/>
      <c r="N65" s="46"/>
      <c r="O65" s="46"/>
      <c r="P65" s="46"/>
      <c r="Q65" s="47"/>
      <c r="R65" s="48"/>
      <c r="S65" s="48"/>
      <c r="T65" s="38" t="str">
        <f aca="false">IF(OR(R65="",S65=""),"",R65*S65)</f>
        <v/>
      </c>
      <c r="U65" s="39" t="str">
        <f aca="false">IF(T65="","",IF(T65&gt;=16,"Critical",IF(T65&gt;=10,"High",IF(T65&gt;=5,"Medium","Low"))))</f>
        <v/>
      </c>
      <c r="V65" s="46"/>
      <c r="W65" s="49"/>
      <c r="X65" s="41" t="str">
        <f aca="false">IF(OR(I65="",W65=""),"",CHOOSE(I65,0.1,0.3,0.5,0.7,0.9)*W65*IF(D65="Opportunity",-1,1))</f>
        <v/>
      </c>
      <c r="Y65" s="46"/>
      <c r="Z65" s="47"/>
    </row>
    <row r="66" customFormat="false" ht="15" hidden="false" customHeight="false" outlineLevel="0" collapsed="false">
      <c r="A66" s="50"/>
      <c r="B66" s="51"/>
      <c r="C66" s="50"/>
      <c r="D66" s="50"/>
      <c r="E66" s="50"/>
      <c r="F66" s="50"/>
      <c r="G66" s="50"/>
      <c r="H66" s="50"/>
      <c r="I66" s="52"/>
      <c r="J66" s="52"/>
      <c r="K66" s="38" t="str">
        <f aca="false">IF(OR(I66="",J66=""),"",I66*J66)</f>
        <v/>
      </c>
      <c r="L66" s="39" t="str">
        <f aca="false">IF(K66="","",IF(K66&gt;=16,"Critical",IF(K66&gt;=10,"High",IF(K66&gt;=5,"Medium","Low"))))</f>
        <v/>
      </c>
      <c r="M66" s="50"/>
      <c r="N66" s="50"/>
      <c r="O66" s="50"/>
      <c r="P66" s="50"/>
      <c r="Q66" s="51"/>
      <c r="R66" s="52"/>
      <c r="S66" s="52"/>
      <c r="T66" s="38" t="str">
        <f aca="false">IF(OR(R66="",S66=""),"",R66*S66)</f>
        <v/>
      </c>
      <c r="U66" s="39" t="str">
        <f aca="false">IF(T66="","",IF(T66&gt;=16,"Critical",IF(T66&gt;=10,"High",IF(T66&gt;=5,"Medium","Low"))))</f>
        <v/>
      </c>
      <c r="V66" s="50"/>
      <c r="W66" s="53"/>
      <c r="X66" s="41" t="str">
        <f aca="false">IF(OR(I66="",W66=""),"",CHOOSE(I66,0.1,0.3,0.5,0.7,0.9)*W66*IF(D66="Opportunity",-1,1))</f>
        <v/>
      </c>
      <c r="Y66" s="50"/>
      <c r="Z66" s="51"/>
    </row>
    <row r="67" customFormat="false" ht="15" hidden="false" customHeight="false" outlineLevel="0" collapsed="false">
      <c r="A67" s="46"/>
      <c r="B67" s="47"/>
      <c r="C67" s="46"/>
      <c r="D67" s="46"/>
      <c r="E67" s="46"/>
      <c r="F67" s="46"/>
      <c r="G67" s="46"/>
      <c r="H67" s="46"/>
      <c r="I67" s="48"/>
      <c r="J67" s="48"/>
      <c r="K67" s="38" t="str">
        <f aca="false">IF(OR(I67="",J67=""),"",I67*J67)</f>
        <v/>
      </c>
      <c r="L67" s="39" t="str">
        <f aca="false">IF(K67="","",IF(K67&gt;=16,"Critical",IF(K67&gt;=10,"High",IF(K67&gt;=5,"Medium","Low"))))</f>
        <v/>
      </c>
      <c r="M67" s="46"/>
      <c r="N67" s="46"/>
      <c r="O67" s="46"/>
      <c r="P67" s="46"/>
      <c r="Q67" s="47"/>
      <c r="R67" s="48"/>
      <c r="S67" s="48"/>
      <c r="T67" s="38" t="str">
        <f aca="false">IF(OR(R67="",S67=""),"",R67*S67)</f>
        <v/>
      </c>
      <c r="U67" s="39" t="str">
        <f aca="false">IF(T67="","",IF(T67&gt;=16,"Critical",IF(T67&gt;=10,"High",IF(T67&gt;=5,"Medium","Low"))))</f>
        <v/>
      </c>
      <c r="V67" s="46"/>
      <c r="W67" s="49"/>
      <c r="X67" s="41" t="str">
        <f aca="false">IF(OR(I67="",W67=""),"",CHOOSE(I67,0.1,0.3,0.5,0.7,0.9)*W67*IF(D67="Opportunity",-1,1))</f>
        <v/>
      </c>
      <c r="Y67" s="46"/>
      <c r="Z67" s="47"/>
    </row>
    <row r="68" customFormat="false" ht="15" hidden="false" customHeight="false" outlineLevel="0" collapsed="false">
      <c r="A68" s="50"/>
      <c r="B68" s="51"/>
      <c r="C68" s="50"/>
      <c r="D68" s="50"/>
      <c r="E68" s="50"/>
      <c r="F68" s="50"/>
      <c r="G68" s="50"/>
      <c r="H68" s="50"/>
      <c r="I68" s="52"/>
      <c r="J68" s="52"/>
      <c r="K68" s="38" t="str">
        <f aca="false">IF(OR(I68="",J68=""),"",I68*J68)</f>
        <v/>
      </c>
      <c r="L68" s="39" t="str">
        <f aca="false">IF(K68="","",IF(K68&gt;=16,"Critical",IF(K68&gt;=10,"High",IF(K68&gt;=5,"Medium","Low"))))</f>
        <v/>
      </c>
      <c r="M68" s="50"/>
      <c r="N68" s="50"/>
      <c r="O68" s="50"/>
      <c r="P68" s="50"/>
      <c r="Q68" s="51"/>
      <c r="R68" s="52"/>
      <c r="S68" s="52"/>
      <c r="T68" s="38" t="str">
        <f aca="false">IF(OR(R68="",S68=""),"",R68*S68)</f>
        <v/>
      </c>
      <c r="U68" s="39" t="str">
        <f aca="false">IF(T68="","",IF(T68&gt;=16,"Critical",IF(T68&gt;=10,"High",IF(T68&gt;=5,"Medium","Low"))))</f>
        <v/>
      </c>
      <c r="V68" s="50"/>
      <c r="W68" s="53"/>
      <c r="X68" s="41" t="str">
        <f aca="false">IF(OR(I68="",W68=""),"",CHOOSE(I68,0.1,0.3,0.5,0.7,0.9)*W68*IF(D68="Opportunity",-1,1))</f>
        <v/>
      </c>
      <c r="Y68" s="50"/>
      <c r="Z68" s="51"/>
    </row>
    <row r="69" customFormat="false" ht="15" hidden="false" customHeight="false" outlineLevel="0" collapsed="false">
      <c r="A69" s="46"/>
      <c r="B69" s="47"/>
      <c r="C69" s="46"/>
      <c r="D69" s="46"/>
      <c r="E69" s="46"/>
      <c r="F69" s="46"/>
      <c r="G69" s="46"/>
      <c r="H69" s="46"/>
      <c r="I69" s="48"/>
      <c r="J69" s="48"/>
      <c r="K69" s="38" t="str">
        <f aca="false">IF(OR(I69="",J69=""),"",I69*J69)</f>
        <v/>
      </c>
      <c r="L69" s="39" t="str">
        <f aca="false">IF(K69="","",IF(K69&gt;=16,"Critical",IF(K69&gt;=10,"High",IF(K69&gt;=5,"Medium","Low"))))</f>
        <v/>
      </c>
      <c r="M69" s="46"/>
      <c r="N69" s="46"/>
      <c r="O69" s="46"/>
      <c r="P69" s="46"/>
      <c r="Q69" s="47"/>
      <c r="R69" s="48"/>
      <c r="S69" s="48"/>
      <c r="T69" s="38" t="str">
        <f aca="false">IF(OR(R69="",S69=""),"",R69*S69)</f>
        <v/>
      </c>
      <c r="U69" s="39" t="str">
        <f aca="false">IF(T69="","",IF(T69&gt;=16,"Critical",IF(T69&gt;=10,"High",IF(T69&gt;=5,"Medium","Low"))))</f>
        <v/>
      </c>
      <c r="V69" s="46"/>
      <c r="W69" s="49"/>
      <c r="X69" s="41" t="str">
        <f aca="false">IF(OR(I69="",W69=""),"",CHOOSE(I69,0.1,0.3,0.5,0.7,0.9)*W69*IF(D69="Opportunity",-1,1))</f>
        <v/>
      </c>
      <c r="Y69" s="46"/>
      <c r="Z69" s="47"/>
    </row>
    <row r="70" customFormat="false" ht="15" hidden="false" customHeight="false" outlineLevel="0" collapsed="false">
      <c r="A70" s="50"/>
      <c r="B70" s="51"/>
      <c r="C70" s="50"/>
      <c r="D70" s="50"/>
      <c r="E70" s="50"/>
      <c r="F70" s="50"/>
      <c r="G70" s="50"/>
      <c r="H70" s="50"/>
      <c r="I70" s="52"/>
      <c r="J70" s="52"/>
      <c r="K70" s="38" t="str">
        <f aca="false">IF(OR(I70="",J70=""),"",I70*J70)</f>
        <v/>
      </c>
      <c r="L70" s="39" t="str">
        <f aca="false">IF(K70="","",IF(K70&gt;=16,"Critical",IF(K70&gt;=10,"High",IF(K70&gt;=5,"Medium","Low"))))</f>
        <v/>
      </c>
      <c r="M70" s="50"/>
      <c r="N70" s="50"/>
      <c r="O70" s="50"/>
      <c r="P70" s="50"/>
      <c r="Q70" s="51"/>
      <c r="R70" s="52"/>
      <c r="S70" s="52"/>
      <c r="T70" s="38" t="str">
        <f aca="false">IF(OR(R70="",S70=""),"",R70*S70)</f>
        <v/>
      </c>
      <c r="U70" s="39" t="str">
        <f aca="false">IF(T70="","",IF(T70&gt;=16,"Critical",IF(T70&gt;=10,"High",IF(T70&gt;=5,"Medium","Low"))))</f>
        <v/>
      </c>
      <c r="V70" s="50"/>
      <c r="W70" s="53"/>
      <c r="X70" s="41" t="str">
        <f aca="false">IF(OR(I70="",W70=""),"",CHOOSE(I70,0.1,0.3,0.5,0.7,0.9)*W70*IF(D70="Opportunity",-1,1))</f>
        <v/>
      </c>
      <c r="Y70" s="50"/>
      <c r="Z70" s="51"/>
    </row>
    <row r="71" customFormat="false" ht="15" hidden="false" customHeight="false" outlineLevel="0" collapsed="false">
      <c r="A71" s="46"/>
      <c r="B71" s="47"/>
      <c r="C71" s="46"/>
      <c r="D71" s="46"/>
      <c r="E71" s="46"/>
      <c r="F71" s="46"/>
      <c r="G71" s="46"/>
      <c r="H71" s="46"/>
      <c r="I71" s="48"/>
      <c r="J71" s="48"/>
      <c r="K71" s="38" t="str">
        <f aca="false">IF(OR(I71="",J71=""),"",I71*J71)</f>
        <v/>
      </c>
      <c r="L71" s="39" t="str">
        <f aca="false">IF(K71="","",IF(K71&gt;=16,"Critical",IF(K71&gt;=10,"High",IF(K71&gt;=5,"Medium","Low"))))</f>
        <v/>
      </c>
      <c r="M71" s="46"/>
      <c r="N71" s="46"/>
      <c r="O71" s="46"/>
      <c r="P71" s="46"/>
      <c r="Q71" s="47"/>
      <c r="R71" s="48"/>
      <c r="S71" s="48"/>
      <c r="T71" s="38" t="str">
        <f aca="false">IF(OR(R71="",S71=""),"",R71*S71)</f>
        <v/>
      </c>
      <c r="U71" s="39" t="str">
        <f aca="false">IF(T71="","",IF(T71&gt;=16,"Critical",IF(T71&gt;=10,"High",IF(T71&gt;=5,"Medium","Low"))))</f>
        <v/>
      </c>
      <c r="V71" s="46"/>
      <c r="W71" s="49"/>
      <c r="X71" s="41" t="str">
        <f aca="false">IF(OR(I71="",W71=""),"",CHOOSE(I71,0.1,0.3,0.5,0.7,0.9)*W71*IF(D71="Opportunity",-1,1))</f>
        <v/>
      </c>
      <c r="Y71" s="46"/>
      <c r="Z71" s="47"/>
    </row>
    <row r="72" customFormat="false" ht="15" hidden="false" customHeight="false" outlineLevel="0" collapsed="false">
      <c r="A72" s="50"/>
      <c r="B72" s="51"/>
      <c r="C72" s="50"/>
      <c r="D72" s="50"/>
      <c r="E72" s="50"/>
      <c r="F72" s="50"/>
      <c r="G72" s="50"/>
      <c r="H72" s="50"/>
      <c r="I72" s="52"/>
      <c r="J72" s="52"/>
      <c r="K72" s="38" t="str">
        <f aca="false">IF(OR(I72="",J72=""),"",I72*J72)</f>
        <v/>
      </c>
      <c r="L72" s="39" t="str">
        <f aca="false">IF(K72="","",IF(K72&gt;=16,"Critical",IF(K72&gt;=10,"High",IF(K72&gt;=5,"Medium","Low"))))</f>
        <v/>
      </c>
      <c r="M72" s="50"/>
      <c r="N72" s="50"/>
      <c r="O72" s="50"/>
      <c r="P72" s="50"/>
      <c r="Q72" s="51"/>
      <c r="R72" s="52"/>
      <c r="S72" s="52"/>
      <c r="T72" s="38" t="str">
        <f aca="false">IF(OR(R72="",S72=""),"",R72*S72)</f>
        <v/>
      </c>
      <c r="U72" s="39" t="str">
        <f aca="false">IF(T72="","",IF(T72&gt;=16,"Critical",IF(T72&gt;=10,"High",IF(T72&gt;=5,"Medium","Low"))))</f>
        <v/>
      </c>
      <c r="V72" s="50"/>
      <c r="W72" s="53"/>
      <c r="X72" s="41" t="str">
        <f aca="false">IF(OR(I72="",W72=""),"",CHOOSE(I72,0.1,0.3,0.5,0.7,0.9)*W72*IF(D72="Opportunity",-1,1))</f>
        <v/>
      </c>
      <c r="Y72" s="50"/>
      <c r="Z72" s="51"/>
    </row>
    <row r="73" customFormat="false" ht="15" hidden="false" customHeight="false" outlineLevel="0" collapsed="false">
      <c r="A73" s="46"/>
      <c r="B73" s="47"/>
      <c r="C73" s="46"/>
      <c r="D73" s="46"/>
      <c r="E73" s="46"/>
      <c r="F73" s="46"/>
      <c r="G73" s="46"/>
      <c r="H73" s="46"/>
      <c r="I73" s="48"/>
      <c r="J73" s="48"/>
      <c r="K73" s="38" t="str">
        <f aca="false">IF(OR(I73="",J73=""),"",I73*J73)</f>
        <v/>
      </c>
      <c r="L73" s="39" t="str">
        <f aca="false">IF(K73="","",IF(K73&gt;=16,"Critical",IF(K73&gt;=10,"High",IF(K73&gt;=5,"Medium","Low"))))</f>
        <v/>
      </c>
      <c r="M73" s="46"/>
      <c r="N73" s="46"/>
      <c r="O73" s="46"/>
      <c r="P73" s="46"/>
      <c r="Q73" s="47"/>
      <c r="R73" s="48"/>
      <c r="S73" s="48"/>
      <c r="T73" s="38" t="str">
        <f aca="false">IF(OR(R73="",S73=""),"",R73*S73)</f>
        <v/>
      </c>
      <c r="U73" s="39" t="str">
        <f aca="false">IF(T73="","",IF(T73&gt;=16,"Critical",IF(T73&gt;=10,"High",IF(T73&gt;=5,"Medium","Low"))))</f>
        <v/>
      </c>
      <c r="V73" s="46"/>
      <c r="W73" s="49"/>
      <c r="X73" s="41" t="str">
        <f aca="false">IF(OR(I73="",W73=""),"",CHOOSE(I73,0.1,0.3,0.5,0.7,0.9)*W73*IF(D73="Opportunity",-1,1))</f>
        <v/>
      </c>
      <c r="Y73" s="46"/>
      <c r="Z73" s="47"/>
    </row>
    <row r="74" customFormat="false" ht="15" hidden="false" customHeight="false" outlineLevel="0" collapsed="false">
      <c r="A74" s="50"/>
      <c r="B74" s="51"/>
      <c r="C74" s="50"/>
      <c r="D74" s="50"/>
      <c r="E74" s="50"/>
      <c r="F74" s="50"/>
      <c r="G74" s="50"/>
      <c r="H74" s="50"/>
      <c r="I74" s="52"/>
      <c r="J74" s="52"/>
      <c r="K74" s="38" t="str">
        <f aca="false">IF(OR(I74="",J74=""),"",I74*J74)</f>
        <v/>
      </c>
      <c r="L74" s="39" t="str">
        <f aca="false">IF(K74="","",IF(K74&gt;=16,"Critical",IF(K74&gt;=10,"High",IF(K74&gt;=5,"Medium","Low"))))</f>
        <v/>
      </c>
      <c r="M74" s="50"/>
      <c r="N74" s="50"/>
      <c r="O74" s="50"/>
      <c r="P74" s="50"/>
      <c r="Q74" s="51"/>
      <c r="R74" s="52"/>
      <c r="S74" s="52"/>
      <c r="T74" s="38" t="str">
        <f aca="false">IF(OR(R74="",S74=""),"",R74*S74)</f>
        <v/>
      </c>
      <c r="U74" s="39" t="str">
        <f aca="false">IF(T74="","",IF(T74&gt;=16,"Critical",IF(T74&gt;=10,"High",IF(T74&gt;=5,"Medium","Low"))))</f>
        <v/>
      </c>
      <c r="V74" s="50"/>
      <c r="W74" s="53"/>
      <c r="X74" s="41" t="str">
        <f aca="false">IF(OR(I74="",W74=""),"",CHOOSE(I74,0.1,0.3,0.5,0.7,0.9)*W74*IF(D74="Opportunity",-1,1))</f>
        <v/>
      </c>
      <c r="Y74" s="50"/>
      <c r="Z74" s="51"/>
    </row>
    <row r="75" customFormat="false" ht="15" hidden="false" customHeight="false" outlineLevel="0" collapsed="false">
      <c r="A75" s="46"/>
      <c r="B75" s="47"/>
      <c r="C75" s="46"/>
      <c r="D75" s="46"/>
      <c r="E75" s="46"/>
      <c r="F75" s="46"/>
      <c r="G75" s="46"/>
      <c r="H75" s="46"/>
      <c r="I75" s="48"/>
      <c r="J75" s="48"/>
      <c r="K75" s="38" t="str">
        <f aca="false">IF(OR(I75="",J75=""),"",I75*J75)</f>
        <v/>
      </c>
      <c r="L75" s="39" t="str">
        <f aca="false">IF(K75="","",IF(K75&gt;=16,"Critical",IF(K75&gt;=10,"High",IF(K75&gt;=5,"Medium","Low"))))</f>
        <v/>
      </c>
      <c r="M75" s="46"/>
      <c r="N75" s="46"/>
      <c r="O75" s="46"/>
      <c r="P75" s="46"/>
      <c r="Q75" s="47"/>
      <c r="R75" s="48"/>
      <c r="S75" s="48"/>
      <c r="T75" s="38" t="str">
        <f aca="false">IF(OR(R75="",S75=""),"",R75*S75)</f>
        <v/>
      </c>
      <c r="U75" s="39" t="str">
        <f aca="false">IF(T75="","",IF(T75&gt;=16,"Critical",IF(T75&gt;=10,"High",IF(T75&gt;=5,"Medium","Low"))))</f>
        <v/>
      </c>
      <c r="V75" s="46"/>
      <c r="W75" s="49"/>
      <c r="X75" s="41" t="str">
        <f aca="false">IF(OR(I75="",W75=""),"",CHOOSE(I75,0.1,0.3,0.5,0.7,0.9)*W75*IF(D75="Opportunity",-1,1))</f>
        <v/>
      </c>
      <c r="Y75" s="46"/>
      <c r="Z75" s="47"/>
    </row>
    <row r="76" customFormat="false" ht="15" hidden="false" customHeight="false" outlineLevel="0" collapsed="false">
      <c r="A76" s="50"/>
      <c r="B76" s="51"/>
      <c r="C76" s="50"/>
      <c r="D76" s="50"/>
      <c r="E76" s="50"/>
      <c r="F76" s="50"/>
      <c r="G76" s="50"/>
      <c r="H76" s="50"/>
      <c r="I76" s="52"/>
      <c r="J76" s="52"/>
      <c r="K76" s="38" t="str">
        <f aca="false">IF(OR(I76="",J76=""),"",I76*J76)</f>
        <v/>
      </c>
      <c r="L76" s="39" t="str">
        <f aca="false">IF(K76="","",IF(K76&gt;=16,"Critical",IF(K76&gt;=10,"High",IF(K76&gt;=5,"Medium","Low"))))</f>
        <v/>
      </c>
      <c r="M76" s="50"/>
      <c r="N76" s="50"/>
      <c r="O76" s="50"/>
      <c r="P76" s="50"/>
      <c r="Q76" s="51"/>
      <c r="R76" s="52"/>
      <c r="S76" s="52"/>
      <c r="T76" s="38" t="str">
        <f aca="false">IF(OR(R76="",S76=""),"",R76*S76)</f>
        <v/>
      </c>
      <c r="U76" s="39" t="str">
        <f aca="false">IF(T76="","",IF(T76&gt;=16,"Critical",IF(T76&gt;=10,"High",IF(T76&gt;=5,"Medium","Low"))))</f>
        <v/>
      </c>
      <c r="V76" s="50"/>
      <c r="W76" s="53"/>
      <c r="X76" s="41" t="str">
        <f aca="false">IF(OR(I76="",W76=""),"",CHOOSE(I76,0.1,0.3,0.5,0.7,0.9)*W76*IF(D76="Opportunity",-1,1))</f>
        <v/>
      </c>
      <c r="Y76" s="50"/>
      <c r="Z76" s="51"/>
    </row>
    <row r="77" customFormat="false" ht="15" hidden="false" customHeight="false" outlineLevel="0" collapsed="false">
      <c r="A77" s="46"/>
      <c r="B77" s="47"/>
      <c r="C77" s="46"/>
      <c r="D77" s="46"/>
      <c r="E77" s="46"/>
      <c r="F77" s="46"/>
      <c r="G77" s="46"/>
      <c r="H77" s="46"/>
      <c r="I77" s="48"/>
      <c r="J77" s="48"/>
      <c r="K77" s="38" t="str">
        <f aca="false">IF(OR(I77="",J77=""),"",I77*J77)</f>
        <v/>
      </c>
      <c r="L77" s="39" t="str">
        <f aca="false">IF(K77="","",IF(K77&gt;=16,"Critical",IF(K77&gt;=10,"High",IF(K77&gt;=5,"Medium","Low"))))</f>
        <v/>
      </c>
      <c r="M77" s="46"/>
      <c r="N77" s="46"/>
      <c r="O77" s="46"/>
      <c r="P77" s="46"/>
      <c r="Q77" s="47"/>
      <c r="R77" s="48"/>
      <c r="S77" s="48"/>
      <c r="T77" s="38" t="str">
        <f aca="false">IF(OR(R77="",S77=""),"",R77*S77)</f>
        <v/>
      </c>
      <c r="U77" s="39" t="str">
        <f aca="false">IF(T77="","",IF(T77&gt;=16,"Critical",IF(T77&gt;=10,"High",IF(T77&gt;=5,"Medium","Low"))))</f>
        <v/>
      </c>
      <c r="V77" s="46"/>
      <c r="W77" s="49"/>
      <c r="X77" s="41" t="str">
        <f aca="false">IF(OR(I77="",W77=""),"",CHOOSE(I77,0.1,0.3,0.5,0.7,0.9)*W77*IF(D77="Opportunity",-1,1))</f>
        <v/>
      </c>
      <c r="Y77" s="46"/>
      <c r="Z77" s="47"/>
    </row>
    <row r="78" customFormat="false" ht="15" hidden="false" customHeight="false" outlineLevel="0" collapsed="false">
      <c r="A78" s="50"/>
      <c r="B78" s="51"/>
      <c r="C78" s="50"/>
      <c r="D78" s="50"/>
      <c r="E78" s="50"/>
      <c r="F78" s="50"/>
      <c r="G78" s="50"/>
      <c r="H78" s="50"/>
      <c r="I78" s="52"/>
      <c r="J78" s="52"/>
      <c r="K78" s="38" t="str">
        <f aca="false">IF(OR(I78="",J78=""),"",I78*J78)</f>
        <v/>
      </c>
      <c r="L78" s="39" t="str">
        <f aca="false">IF(K78="","",IF(K78&gt;=16,"Critical",IF(K78&gt;=10,"High",IF(K78&gt;=5,"Medium","Low"))))</f>
        <v/>
      </c>
      <c r="M78" s="50"/>
      <c r="N78" s="50"/>
      <c r="O78" s="50"/>
      <c r="P78" s="50"/>
      <c r="Q78" s="51"/>
      <c r="R78" s="52"/>
      <c r="S78" s="52"/>
      <c r="T78" s="38" t="str">
        <f aca="false">IF(OR(R78="",S78=""),"",R78*S78)</f>
        <v/>
      </c>
      <c r="U78" s="39" t="str">
        <f aca="false">IF(T78="","",IF(T78&gt;=16,"Critical",IF(T78&gt;=10,"High",IF(T78&gt;=5,"Medium","Low"))))</f>
        <v/>
      </c>
      <c r="V78" s="50"/>
      <c r="W78" s="53"/>
      <c r="X78" s="41" t="str">
        <f aca="false">IF(OR(I78="",W78=""),"",CHOOSE(I78,0.1,0.3,0.5,0.7,0.9)*W78*IF(D78="Opportunity",-1,1))</f>
        <v/>
      </c>
      <c r="Y78" s="50"/>
      <c r="Z78" s="51"/>
    </row>
    <row r="79" customFormat="false" ht="15" hidden="false" customHeight="false" outlineLevel="0" collapsed="false">
      <c r="A79" s="46"/>
      <c r="B79" s="47"/>
      <c r="C79" s="46"/>
      <c r="D79" s="46"/>
      <c r="E79" s="46"/>
      <c r="F79" s="46"/>
      <c r="G79" s="46"/>
      <c r="H79" s="46"/>
      <c r="I79" s="48"/>
      <c r="J79" s="48"/>
      <c r="K79" s="38" t="str">
        <f aca="false">IF(OR(I79="",J79=""),"",I79*J79)</f>
        <v/>
      </c>
      <c r="L79" s="39" t="str">
        <f aca="false">IF(K79="","",IF(K79&gt;=16,"Critical",IF(K79&gt;=10,"High",IF(K79&gt;=5,"Medium","Low"))))</f>
        <v/>
      </c>
      <c r="M79" s="46"/>
      <c r="N79" s="46"/>
      <c r="O79" s="46"/>
      <c r="P79" s="46"/>
      <c r="Q79" s="47"/>
      <c r="R79" s="48"/>
      <c r="S79" s="48"/>
      <c r="T79" s="38" t="str">
        <f aca="false">IF(OR(R79="",S79=""),"",R79*S79)</f>
        <v/>
      </c>
      <c r="U79" s="39" t="str">
        <f aca="false">IF(T79="","",IF(T79&gt;=16,"Critical",IF(T79&gt;=10,"High",IF(T79&gt;=5,"Medium","Low"))))</f>
        <v/>
      </c>
      <c r="V79" s="46"/>
      <c r="W79" s="49"/>
      <c r="X79" s="41" t="str">
        <f aca="false">IF(OR(I79="",W79=""),"",CHOOSE(I79,0.1,0.3,0.5,0.7,0.9)*W79*IF(D79="Opportunity",-1,1))</f>
        <v/>
      </c>
      <c r="Y79" s="46"/>
      <c r="Z79" s="47"/>
    </row>
    <row r="80" customFormat="false" ht="15" hidden="false" customHeight="false" outlineLevel="0" collapsed="false">
      <c r="A80" s="50"/>
      <c r="B80" s="51"/>
      <c r="C80" s="50"/>
      <c r="D80" s="50"/>
      <c r="E80" s="50"/>
      <c r="F80" s="50"/>
      <c r="G80" s="50"/>
      <c r="H80" s="50"/>
      <c r="I80" s="52"/>
      <c r="J80" s="52"/>
      <c r="K80" s="38" t="str">
        <f aca="false">IF(OR(I80="",J80=""),"",I80*J80)</f>
        <v/>
      </c>
      <c r="L80" s="39" t="str">
        <f aca="false">IF(K80="","",IF(K80&gt;=16,"Critical",IF(K80&gt;=10,"High",IF(K80&gt;=5,"Medium","Low"))))</f>
        <v/>
      </c>
      <c r="M80" s="50"/>
      <c r="N80" s="50"/>
      <c r="O80" s="50"/>
      <c r="P80" s="50"/>
      <c r="Q80" s="51"/>
      <c r="R80" s="52"/>
      <c r="S80" s="52"/>
      <c r="T80" s="38" t="str">
        <f aca="false">IF(OR(R80="",S80=""),"",R80*S80)</f>
        <v/>
      </c>
      <c r="U80" s="39" t="str">
        <f aca="false">IF(T80="","",IF(T80&gt;=16,"Critical",IF(T80&gt;=10,"High",IF(T80&gt;=5,"Medium","Low"))))</f>
        <v/>
      </c>
      <c r="V80" s="50"/>
      <c r="W80" s="53"/>
      <c r="X80" s="41" t="str">
        <f aca="false">IF(OR(I80="",W80=""),"",CHOOSE(I80,0.1,0.3,0.5,0.7,0.9)*W80*IF(D80="Opportunity",-1,1))</f>
        <v/>
      </c>
      <c r="Y80" s="50"/>
      <c r="Z80" s="51"/>
    </row>
    <row r="81" customFormat="false" ht="15" hidden="false" customHeight="false" outlineLevel="0" collapsed="false">
      <c r="A81" s="46"/>
      <c r="B81" s="47"/>
      <c r="C81" s="46"/>
      <c r="D81" s="46"/>
      <c r="E81" s="46"/>
      <c r="F81" s="46"/>
      <c r="G81" s="46"/>
      <c r="H81" s="46"/>
      <c r="I81" s="48"/>
      <c r="J81" s="48"/>
      <c r="K81" s="38" t="str">
        <f aca="false">IF(OR(I81="",J81=""),"",I81*J81)</f>
        <v/>
      </c>
      <c r="L81" s="39" t="str">
        <f aca="false">IF(K81="","",IF(K81&gt;=16,"Critical",IF(K81&gt;=10,"High",IF(K81&gt;=5,"Medium","Low"))))</f>
        <v/>
      </c>
      <c r="M81" s="46"/>
      <c r="N81" s="46"/>
      <c r="O81" s="46"/>
      <c r="P81" s="46"/>
      <c r="Q81" s="47"/>
      <c r="R81" s="48"/>
      <c r="S81" s="48"/>
      <c r="T81" s="38" t="str">
        <f aca="false">IF(OR(R81="",S81=""),"",R81*S81)</f>
        <v/>
      </c>
      <c r="U81" s="39" t="str">
        <f aca="false">IF(T81="","",IF(T81&gt;=16,"Critical",IF(T81&gt;=10,"High",IF(T81&gt;=5,"Medium","Low"))))</f>
        <v/>
      </c>
      <c r="V81" s="46"/>
      <c r="W81" s="49"/>
      <c r="X81" s="41" t="str">
        <f aca="false">IF(OR(I81="",W81=""),"",CHOOSE(I81,0.1,0.3,0.5,0.7,0.9)*W81*IF(D81="Opportunity",-1,1))</f>
        <v/>
      </c>
      <c r="Y81" s="46"/>
      <c r="Z81" s="47"/>
    </row>
    <row r="82" customFormat="false" ht="15" hidden="false" customHeight="false" outlineLevel="0" collapsed="false">
      <c r="A82" s="50"/>
      <c r="B82" s="51"/>
      <c r="C82" s="50"/>
      <c r="D82" s="50"/>
      <c r="E82" s="50"/>
      <c r="F82" s="50"/>
      <c r="G82" s="50"/>
      <c r="H82" s="50"/>
      <c r="I82" s="52"/>
      <c r="J82" s="52"/>
      <c r="K82" s="38" t="str">
        <f aca="false">IF(OR(I82="",J82=""),"",I82*J82)</f>
        <v/>
      </c>
      <c r="L82" s="39" t="str">
        <f aca="false">IF(K82="","",IF(K82&gt;=16,"Critical",IF(K82&gt;=10,"High",IF(K82&gt;=5,"Medium","Low"))))</f>
        <v/>
      </c>
      <c r="M82" s="50"/>
      <c r="N82" s="50"/>
      <c r="O82" s="50"/>
      <c r="P82" s="50"/>
      <c r="Q82" s="51"/>
      <c r="R82" s="52"/>
      <c r="S82" s="52"/>
      <c r="T82" s="38" t="str">
        <f aca="false">IF(OR(R82="",S82=""),"",R82*S82)</f>
        <v/>
      </c>
      <c r="U82" s="39" t="str">
        <f aca="false">IF(T82="","",IF(T82&gt;=16,"Critical",IF(T82&gt;=10,"High",IF(T82&gt;=5,"Medium","Low"))))</f>
        <v/>
      </c>
      <c r="V82" s="50"/>
      <c r="W82" s="53"/>
      <c r="X82" s="41" t="str">
        <f aca="false">IF(OR(I82="",W82=""),"",CHOOSE(I82,0.1,0.3,0.5,0.7,0.9)*W82*IF(D82="Opportunity",-1,1))</f>
        <v/>
      </c>
      <c r="Y82" s="50"/>
      <c r="Z82" s="51"/>
    </row>
    <row r="83" customFormat="false" ht="15" hidden="false" customHeight="false" outlineLevel="0" collapsed="false">
      <c r="A83" s="46"/>
      <c r="B83" s="47"/>
      <c r="C83" s="46"/>
      <c r="D83" s="46"/>
      <c r="E83" s="46"/>
      <c r="F83" s="46"/>
      <c r="G83" s="46"/>
      <c r="H83" s="46"/>
      <c r="I83" s="48"/>
      <c r="J83" s="48"/>
      <c r="K83" s="38" t="str">
        <f aca="false">IF(OR(I83="",J83=""),"",I83*J83)</f>
        <v/>
      </c>
      <c r="L83" s="39" t="str">
        <f aca="false">IF(K83="","",IF(K83&gt;=16,"Critical",IF(K83&gt;=10,"High",IF(K83&gt;=5,"Medium","Low"))))</f>
        <v/>
      </c>
      <c r="M83" s="46"/>
      <c r="N83" s="46"/>
      <c r="O83" s="46"/>
      <c r="P83" s="46"/>
      <c r="Q83" s="47"/>
      <c r="R83" s="48"/>
      <c r="S83" s="48"/>
      <c r="T83" s="38" t="str">
        <f aca="false">IF(OR(R83="",S83=""),"",R83*S83)</f>
        <v/>
      </c>
      <c r="U83" s="39" t="str">
        <f aca="false">IF(T83="","",IF(T83&gt;=16,"Critical",IF(T83&gt;=10,"High",IF(T83&gt;=5,"Medium","Low"))))</f>
        <v/>
      </c>
      <c r="V83" s="46"/>
      <c r="W83" s="49"/>
      <c r="X83" s="41" t="str">
        <f aca="false">IF(OR(I83="",W83=""),"",CHOOSE(I83,0.1,0.3,0.5,0.7,0.9)*W83*IF(D83="Opportunity",-1,1))</f>
        <v/>
      </c>
      <c r="Y83" s="46"/>
      <c r="Z83" s="47"/>
    </row>
    <row r="84" customFormat="false" ht="15" hidden="false" customHeight="false" outlineLevel="0" collapsed="false">
      <c r="A84" s="50"/>
      <c r="B84" s="51"/>
      <c r="C84" s="50"/>
      <c r="D84" s="50"/>
      <c r="E84" s="50"/>
      <c r="F84" s="50"/>
      <c r="G84" s="50"/>
      <c r="H84" s="50"/>
      <c r="I84" s="52"/>
      <c r="J84" s="52"/>
      <c r="K84" s="38" t="str">
        <f aca="false">IF(OR(I84="",J84=""),"",I84*J84)</f>
        <v/>
      </c>
      <c r="L84" s="39" t="str">
        <f aca="false">IF(K84="","",IF(K84&gt;=16,"Critical",IF(K84&gt;=10,"High",IF(K84&gt;=5,"Medium","Low"))))</f>
        <v/>
      </c>
      <c r="M84" s="50"/>
      <c r="N84" s="50"/>
      <c r="O84" s="50"/>
      <c r="P84" s="50"/>
      <c r="Q84" s="51"/>
      <c r="R84" s="52"/>
      <c r="S84" s="52"/>
      <c r="T84" s="38" t="str">
        <f aca="false">IF(OR(R84="",S84=""),"",R84*S84)</f>
        <v/>
      </c>
      <c r="U84" s="39" t="str">
        <f aca="false">IF(T84="","",IF(T84&gt;=16,"Critical",IF(T84&gt;=10,"High",IF(T84&gt;=5,"Medium","Low"))))</f>
        <v/>
      </c>
      <c r="V84" s="50"/>
      <c r="W84" s="53"/>
      <c r="X84" s="41" t="str">
        <f aca="false">IF(OR(I84="",W84=""),"",CHOOSE(I84,0.1,0.3,0.5,0.7,0.9)*W84*IF(D84="Opportunity",-1,1))</f>
        <v/>
      </c>
      <c r="Y84" s="50"/>
      <c r="Z84" s="51"/>
    </row>
  </sheetData>
  <autoFilter ref="A4:Z84"/>
  <mergeCells count="2">
    <mergeCell ref="A1:Z1"/>
    <mergeCell ref="A2:Z2"/>
  </mergeCells>
  <conditionalFormatting sqref="L5:L8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U5:U84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conditionalFormatting sqref="K5:K84">
    <cfRule type="expression" priority="10" aboveAverage="0" equalAverage="0" bottom="0" percent="0" rank="0" text="" dxfId="0">
      <formula>AND(ISNUMBER(K5),K5&gt;=16)</formula>
    </cfRule>
    <cfRule type="expression" priority="11" aboveAverage="0" equalAverage="0" bottom="0" percent="0" rank="0" text="" dxfId="17">
      <formula>AND(ISNUMBER(K5),K5&gt;=10)</formula>
    </cfRule>
    <cfRule type="expression" priority="12" aboveAverage="0" equalAverage="0" bottom="0" percent="0" rank="0" text="" dxfId="18">
      <formula>AND(ISNUMBER(K5),K5&gt;=5)</formula>
    </cfRule>
    <cfRule type="expression" priority="13" aboveAverage="0" equalAverage="0" bottom="0" percent="0" rank="0" text="" dxfId="19">
      <formula>ISNUMBER(K5)</formula>
    </cfRule>
  </conditionalFormatting>
  <conditionalFormatting sqref="T5:T84">
    <cfRule type="expression" priority="14" aboveAverage="0" equalAverage="0" bottom="0" percent="0" rank="0" text="" dxfId="0">
      <formula>AND(ISNUMBER(T5),T5&gt;=16)</formula>
    </cfRule>
    <cfRule type="expression" priority="15" aboveAverage="0" equalAverage="0" bottom="0" percent="0" rank="0" text="" dxfId="17">
      <formula>AND(ISNUMBER(T5),T5&gt;=10)</formula>
    </cfRule>
    <cfRule type="expression" priority="16" aboveAverage="0" equalAverage="0" bottom="0" percent="0" rank="0" text="" dxfId="18">
      <formula>AND(ISNUMBER(T5),T5&gt;=5)</formula>
    </cfRule>
    <cfRule type="expression" priority="17" aboveAverage="0" equalAverage="0" bottom="0" percent="0" rank="0" text="" dxfId="19">
      <formula>ISNUMBER(T5)</formula>
    </cfRule>
  </conditionalFormatting>
  <dataValidations count="9">
    <dataValidation allowBlank="true" error="Please select a value from the list (toolkit controlled vocabulary)." errorStyle="stop" errorTitle="Invalid entry" operator="between" showDropDown="false" showErrorMessage="true" showInputMessage="false" sqref="C5:C84" type="list">
      <formula1>Lists!$A$2:$A$7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D5:D84" type="list">
      <formula1>Lists!$B$2:$B$3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I5:I8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J5:J8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M5:M84" type="list">
      <formula1>Lists!$D$2:$D$5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N5:N84" type="list">
      <formula1>Lists!$E$2:$E$9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R5:R8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S5:S8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Y5:Y84" type="list">
      <formula1>Lists!$F$2:$F$5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9" t="s">
        <v>164</v>
      </c>
      <c r="B1" s="29" t="s">
        <v>165</v>
      </c>
      <c r="C1" s="29" t="s">
        <v>166</v>
      </c>
      <c r="D1" s="29" t="s">
        <v>167</v>
      </c>
      <c r="E1" s="29" t="s">
        <v>168</v>
      </c>
      <c r="F1" s="29" t="s">
        <v>169</v>
      </c>
    </row>
    <row r="2" customFormat="false" ht="15" hidden="false" customHeight="false" outlineLevel="0" collapsed="false">
      <c r="A2" s="0" t="s">
        <v>170</v>
      </c>
      <c r="B2" s="0" t="s">
        <v>141</v>
      </c>
      <c r="C2" s="0" t="n">
        <v>1</v>
      </c>
      <c r="D2" s="0" t="s">
        <v>171</v>
      </c>
      <c r="E2" s="0" t="s">
        <v>172</v>
      </c>
      <c r="F2" s="0" t="s">
        <v>151</v>
      </c>
    </row>
    <row r="3" customFormat="false" ht="15" hidden="false" customHeight="false" outlineLevel="0" collapsed="false">
      <c r="A3" s="0" t="s">
        <v>140</v>
      </c>
      <c r="B3" s="0" t="s">
        <v>154</v>
      </c>
      <c r="C3" s="0" t="n">
        <v>2</v>
      </c>
      <c r="D3" s="0" t="s">
        <v>146</v>
      </c>
      <c r="E3" s="0" t="s">
        <v>173</v>
      </c>
      <c r="F3" s="0" t="s">
        <v>163</v>
      </c>
    </row>
    <row r="4" customFormat="false" ht="15" hidden="false" customHeight="false" outlineLevel="0" collapsed="false">
      <c r="A4" s="0" t="s">
        <v>153</v>
      </c>
      <c r="C4" s="0" t="n">
        <v>3</v>
      </c>
      <c r="D4" s="0" t="s">
        <v>159</v>
      </c>
      <c r="E4" s="0" t="s">
        <v>147</v>
      </c>
      <c r="F4" s="0" t="s">
        <v>174</v>
      </c>
    </row>
    <row r="5" customFormat="false" ht="15" hidden="false" customHeight="false" outlineLevel="0" collapsed="false">
      <c r="A5" s="0" t="s">
        <v>175</v>
      </c>
      <c r="C5" s="0" t="n">
        <v>4</v>
      </c>
      <c r="D5" s="0" t="s">
        <v>176</v>
      </c>
      <c r="E5" s="0" t="s">
        <v>177</v>
      </c>
      <c r="F5" s="0" t="s">
        <v>178</v>
      </c>
    </row>
    <row r="6" customFormat="false" ht="15" hidden="false" customHeight="false" outlineLevel="0" collapsed="false">
      <c r="A6" s="0" t="s">
        <v>179</v>
      </c>
      <c r="C6" s="0" t="n">
        <v>5</v>
      </c>
      <c r="E6" s="0" t="s">
        <v>180</v>
      </c>
    </row>
    <row r="7" customFormat="false" ht="15" hidden="false" customHeight="false" outlineLevel="0" collapsed="false">
      <c r="A7" s="0" t="s">
        <v>181</v>
      </c>
      <c r="E7" s="0" t="s">
        <v>182</v>
      </c>
    </row>
    <row r="8" customFormat="false" ht="15" hidden="false" customHeight="false" outlineLevel="0" collapsed="false">
      <c r="E8" s="0" t="s">
        <v>183</v>
      </c>
    </row>
    <row r="9" customFormat="false" ht="15" hidden="false" customHeight="false" outlineLevel="0" collapsed="false">
      <c r="E9" s="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2026-10-28T04:09:01Z</dcterms:created>
  <dc:creator>[Project Manager]</dc:creator>
  <dc:description/>
  <cp:keywords>PRJ-2026-001-RKR PMBOK 8</cp:keywords>
  <dc:language>en-US</dc:language>
  <cp:lastModifiedBy/>
  <dcterms:modified xsi:type="dcterms:W3CDTF">2026-10-28T04:09:02Z</dcterms:modified>
  <cp:revision>0</cp:revision>
  <dc:subject>[Project Name]</dc:subject>
  <dc:title>16 - Risk Register + 5×5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