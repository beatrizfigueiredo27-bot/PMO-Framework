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ower-Interest Grid" sheetId="2" state="visible" r:id="rId4"/>
    <sheet name="Register" sheetId="3" state="visible" r:id="rId5"/>
    <sheet name="Lists" sheetId="4" state="hidden" r:id="rId6"/>
  </sheets>
  <definedNames>
    <definedName function="false" hidden="false" localSheetId="2" name="_xlnm.Print_Titles" vbProcedure="false">Register!$4:$4</definedName>
    <definedName function="false" hidden="true" localSheetId="2" name="_xlnm._FilterDatabase" vbProcedure="false">Register!$A$4:$R$64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<sst xmlns="http://schemas.openxmlformats.org/spreadsheetml/2006/main" count="149" uniqueCount="125">
  <si>
    <t xml:space="preserve">[ORGANIZATION NAME]</t>
  </si>
  <si>
    <t xml:space="preserve">10 — Stakeholder Register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</si>
  <si>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</si>
  <si>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</si>
  <si>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</si>
  <si>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</si>
  <si>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</si>
  <si>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Stakeholders</t>
  </si>
  <si>
    <t xml:space="preserve">Project ID</t>
  </si>
  <si>
    <t xml:space="preserve">PRJ-2026-001</t>
  </si>
  <si>
    <t xml:space="preserve">Focus area(s)</t>
  </si>
  <si>
    <t xml:space="preserve">Initiating, Planning</t>
  </si>
  <si>
    <t xml:space="preserve">Document ID</t>
  </si>
  <si>
    <t xml:space="preserve">PRJ-2026-001-SHR</t>
  </si>
  <si>
    <t xml:space="preserve">Toolkit</t>
  </si>
  <si>
    <t xml:space="preserve">PMI Predictive Project Management Toolkit</t>
  </si>
  <si>
    <t xml:space="preserve">Document title</t>
  </si>
  <si>
    <t xml:space="preserve">Stakeholder Register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</si>
  <si>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</si>
  <si>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</si>
  <si>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</si>
  <si>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</si>
  <si>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</si>
  <si>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</si>
  <si>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</si>
  <si>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</si>
  <si>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</si>
  <si>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</si>
  <si>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</si>
  <si>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</si>
  <si>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</si>
  <si>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</si>
  <si>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</si>
  <si>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</si>
  <si>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</si>
  <si>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</si>
  <si>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</si>
  <si>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</si>
  <si>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</si>
  <si>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</si>
  <si>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</si>
  <si>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</si>
  <si>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</si>
  <si>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</si>
  <si>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</si>
  <si>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</si>
  <si>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</si>
  <si>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</si>
  <si>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</si>
  <si>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</si>
  <si>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</si>
  <si>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</si>
  <si>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</si>
  <si>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</si>
  <si>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</si>
  <si>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</si>
  <si>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</si>
  <si>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</si>
  <si>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Identify every individual or group that can affect or be affected by the project.</t>
  </si>
  <si>
    <t xml:space="preserve">2. Score power/influence and interest from 1 (low) to 5 (high); the quadrant and engagement gap are calculated.</t>
  </si>
  <si>
    <t xml:space="preserve">3. Engagement strategies and actions are detailed in the Stakeholder Engagement Plan (doc 11); communication logistics in doc 12.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</si>
  <si>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</si>
  <si>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</si>
  <si>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</si>
  <si>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10 — Stakeholder Register  |  Power / Interest Grid</t>
  </si>
  <si>
    <t xml:space="preserve">[Project Name]   •   PRJ-2026-001-SHR   •   v0.1 Draft   •   Internal</t>
  </si>
  <si>
    <t xml:space="preserve">HIGH
POWER</t>
  </si>
  <si>
    <t xml:space="preserve">KEEP SATISFIED</t>
  </si>
  <si>
    <t xml:space="preserve">MANAGE CLOSELY</t>
  </si>
  <si>
    <t xml:space="preserve">LOW
POWER</t>
  </si>
  <si>
    <t xml:space="preserve">MONITOR</t>
  </si>
  <si>
    <t xml:space="preserve">KEEP INFORMED</t>
  </si>
  <si>
    <t xml:space="preserve">LOW INTEREST</t>
  </si>
  <si>
    <t xml:space="preserve">HIGH INTEREST</t>
  </si>
  <si>
    <t xml:space="preserve">Engagement gaps to close:</t>
  </si>
  <si>
    <t xml:space="preserve">10 — Stakeholder Register  |  Register</t>
  </si>
  <si>
    <t xml:space="preserve">ID</t>
  </si>
  <si>
    <t xml:space="preserve">Name</t>
  </si>
  <si>
    <t xml:space="preserve">Title / role</t>
  </si>
  <si>
    <t xml:space="preserve">Organization / unit</t>
  </si>
  <si>
    <t xml:space="preserve">Internal / external</t>
  </si>
  <si>
    <t xml:space="preserve">Contact (email / phone)</t>
  </si>
  <si>
    <t xml:space="preserve">Key requirements / expectations</t>
  </si>
  <si>
    <t xml:space="preserve">Power / influence (1-5)</t>
  </si>
  <si>
    <t xml:space="preserve">Interest (1-5)</t>
  </si>
  <si>
    <t xml:space="preserve">ƒ Quadrant</t>
  </si>
  <si>
    <t xml:space="preserve">Attitude</t>
  </si>
  <si>
    <t xml:space="preserve">Current engagement</t>
  </si>
  <si>
    <t xml:space="preserve">Desired engagement</t>
  </si>
  <si>
    <t xml:space="preserve">ƒ Engagement gap</t>
  </si>
  <si>
    <t xml:space="preserve">Engagement strategy / key actions</t>
  </si>
  <si>
    <t xml:space="preserve">Relationship owner</t>
  </si>
  <si>
    <t xml:space="preserve">Comms frequency</t>
  </si>
  <si>
    <t xml:space="preserve">Last updated</t>
  </si>
  <si>
    <t xml:space="preserve">SH-01</t>
  </si>
  <si>
    <t xml:space="preserve">[Executive office]</t>
  </si>
  <si>
    <t xml:space="preserve">ROI realized; delivery on time</t>
  </si>
  <si>
    <t xml:space="preserve">Champion</t>
  </si>
  <si>
    <t xml:space="preserve">Supportive</t>
  </si>
  <si>
    <t xml:space="preserve">Leading</t>
  </si>
  <si>
    <t xml:space="preserve">Bi-weekly 1:1; chair Steering Committee</t>
  </si>
  <si>
    <t xml:space="preserve">Bi-weekly</t>
  </si>
  <si>
    <t xml:space="preserve">SH-02</t>
  </si>
  <si>
    <t xml:space="preserve">[End-user group]</t>
  </si>
  <si>
    <t xml:space="preserve">Operational users</t>
  </si>
  <si>
    <t xml:space="preserve">[Operations]</t>
  </si>
  <si>
    <t xml:space="preserve">Minimal disruption; usable tool</t>
  </si>
  <si>
    <t xml:space="preserve">Neutral</t>
  </si>
  <si>
    <t xml:space="preserve">Unaware</t>
  </si>
  <si>
    <t xml:space="preserve">Demos, change champions, training</t>
  </si>
  <si>
    <t xml:space="preserve">[Change lead]</t>
  </si>
  <si>
    <t xml:space="preserve">Monthly</t>
  </si>
  <si>
    <t xml:space="preserve">Eng</t>
  </si>
  <si>
    <t xml:space="preserve">IntExt</t>
  </si>
  <si>
    <t xml:space="preserve">Score5</t>
  </si>
  <si>
    <t xml:space="preserve">Freq</t>
  </si>
  <si>
    <t xml:space="preserve">Daily</t>
  </si>
  <si>
    <t xml:space="preserve">Resistant</t>
  </si>
  <si>
    <t xml:space="preserve">External</t>
  </si>
  <si>
    <t xml:space="preserve">Supporter</t>
  </si>
  <si>
    <t xml:space="preserve">Weekly</t>
  </si>
  <si>
    <t xml:space="preserve">Critic</t>
  </si>
  <si>
    <t xml:space="preserve">Blocker</t>
  </si>
  <si>
    <t xml:space="preserve">Quarterly</t>
  </si>
  <si>
    <t xml:space="preserve">As needed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</si>
</sst>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b val="true"/>
      <sz val="20"/>
      <color rgb="FF13807E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14"/>
      <color rgb="FFC0392B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E5E8EB"/>
      </patternFill>
    </fill>
    <fill>
      <patternFill patternType="solid">
        <fgColor rgb="FFF3F6F9"/>
        <bgColor rgb="FFEAF2F2"/>
      </patternFill>
    </fill>
    <fill>
      <patternFill patternType="solid">
        <fgColor rgb="FFFCEFC7"/>
        <bgColor rgb="FFEAF2F2"/>
      </patternFill>
    </fill>
    <fill>
      <patternFill patternType="solid">
        <fgColor rgb="FFF6D5D1"/>
        <bgColor rgb="FFE5E8EB"/>
      </patternFill>
    </fill>
    <fill>
      <patternFill patternType="solid">
        <fgColor rgb="FFE5E8EB"/>
        <bgColor rgb="FFDCE8F2"/>
      </patternFill>
    </fill>
    <fill>
      <patternFill patternType="solid">
        <fgColor rgb="FF13807E"/>
        <bgColor rgb="FF008080"/>
      </patternFill>
    </fill>
    <fill>
      <patternFill patternType="solid">
        <fgColor rgb="FFEAF2F2"/>
        <bgColor rgb="FFF3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23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DCE8F2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 patternType="solid">
          <fgColor rgb="FFF6D5D1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CEFC7"/>
          <bgColor rgb="FF000000"/>
        </patternFill>
      </fill>
    </dxf>
    <dxf>
      <fill>
        <patternFill patternType="solid">
          <fgColor rgb="FF8A6200"/>
          <bgColor rgb="FF000000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ont>
        <name val="Calibri"/>
        <charset val="1"/>
        <family val="0"/>
        <b val="1"/>
        <color rgb="FF1F3A5F"/>
      </font>
      <fill>
        <patternFill>
          <bgColor rgb="FFDCE8F2"/>
        </patternFill>
      </fill>
    </dxf>
    <dxf>
      <font>
        <name val="Calibri"/>
        <charset val="1"/>
        <family val="0"/>
        <b val="1"/>
        <color rgb="FF6B7785"/>
      </font>
      <fill>
        <patternFill>
          <bgColor rgb="FFE5E8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200"/>
      <rgbColor rgb="FF800080"/>
      <rgbColor rgb="FF13807E"/>
      <rgbColor rgb="FFB8C4D0"/>
      <rgbColor rgb="FF6B7785"/>
      <rgbColor rgb="FF9999FF"/>
      <rgbColor rgb="FF993366"/>
      <rgbColor rgb="FFFCEFC7"/>
      <rgbColor rgb="FFEAF2F2"/>
      <rgbColor rgb="FF660066"/>
      <rgbColor rgb="FFFF8080"/>
      <rgbColor rgb="FF0066CC"/>
      <rgbColor rgb="FFE5E8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3F6F9"/>
      <rgbColor rgb="FF9FD3D1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4" min="3" style="0" width="38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</row>
    <row r="3" customFormat="false" ht="6" hidden="false" customHeight="true" outlineLevel="0" collapsed="false"/>
    <row r="5" customFormat="false" ht="30" hidden="false" customHeight="true" outlineLevel="0" collapsed="false">
      <c r="B5" s="18" t="s">
        <v>66</v>
      </c>
      <c r="C5" s="19" t="s">
        <v>67</v>
      </c>
      <c r="D5" s="20" t="s">
        <v>68</v>
      </c>
    </row>
    <row r="6" customFormat="false" ht="60" hidden="false" customHeight="true" outlineLevel="0" collapsed="false">
      <c r="B6" s="18"/>
      <c r="C6" s="21" t="str">
        <f aca="false">COUNTIF(Register!$J$5:$J$64,"Keep satisfied")&amp;" stakeholder(s)"</f>
        <v>0 stakeholder(s)</v>
      </c>
      <c r="D6" s="22" t="str">
        <f aca="false">COUNTIF(Register!$J$5:$J$64,"Manage closely")&amp;" stakeholder(s)"</f>
        <v>1 stakeholder(s)</v>
      </c>
    </row>
    <row r="7" customFormat="false" ht="30" hidden="false" customHeight="true" outlineLevel="0" collapsed="false">
      <c r="B7" s="18" t="s">
        <v>69</v>
      </c>
      <c r="C7" s="23" t="s">
        <v>70</v>
      </c>
      <c r="D7" s="24" t="s">
        <v>71</v>
      </c>
    </row>
    <row r="8" customFormat="false" ht="60" hidden="false" customHeight="true" outlineLevel="0" collapsed="false">
      <c r="B8" s="18"/>
      <c r="C8" s="25" t="str">
        <f aca="false">COUNTIF(Register!$J$5:$J$64,"Monitor")&amp;" stakeholder(s)"</f>
        <v>0 stakeholder(s)</v>
      </c>
      <c r="D8" s="26" t="str">
        <f aca="false">COUNTIF(Register!$J$5:$J$64,"Keep informed")&amp;" stakeholder(s)"</f>
        <v>1 stakeholder(s)</v>
      </c>
    </row>
    <row r="9" customFormat="false" ht="15" hidden="false" customHeight="false" outlineLevel="0" collapsed="false">
      <c r="C9" s="27" t="s">
        <v>72</v>
      </c>
      <c r="D9" s="27" t="s">
        <v>73</v>
      </c>
    </row>
    <row r="11" customFormat="false" ht="17.35" hidden="false" customHeight="false" outlineLevel="0" collapsed="false">
      <c r="C11" s="28" t="s">
        <v>74</v>
      </c>
      <c r="D11" s="29" t="n">
        <f aca="false">COUNTIF(Register!$N$5:$N$64,"Gap")</f>
        <v>2</v>
      </c>
    </row>
  </sheetData>
  <mergeCells count="4">
    <mergeCell ref="A1:F1"/>
    <mergeCell ref="A2:F2"/>
    <mergeCell ref="B5:B6"/>
    <mergeCell ref="B7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R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9" min="8" style="0" width="9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32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11"/>
  </cols>
  <sheetData>
    <row r="1" customFormat="false" ht="25.5" hidden="false" customHeight="true" outlineLevel="0" collapsed="false">
      <c r="A1" s="16" t="s">
        <v>75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customFormat="false" ht="6" hidden="false" customHeight="true" outlineLevel="0" collapsed="false"/>
    <row r="4" customFormat="false" ht="33.75" hidden="false" customHeight="true" outlineLevel="0" collapsed="false">
      <c r="A4" s="30" t="s">
        <v>76</v>
      </c>
      <c r="B4" s="30" t="s">
        <v>77</v>
      </c>
      <c r="C4" s="30" t="s">
        <v>78</v>
      </c>
      <c r="D4" s="30" t="s">
        <v>79</v>
      </c>
      <c r="E4" s="30" t="s">
        <v>80</v>
      </c>
      <c r="F4" s="30" t="s">
        <v>81</v>
      </c>
      <c r="G4" s="30" t="s">
        <v>82</v>
      </c>
      <c r="H4" s="30" t="s">
        <v>83</v>
      </c>
      <c r="I4" s="30" t="s">
        <v>84</v>
      </c>
      <c r="J4" s="31" t="s">
        <v>85</v>
      </c>
      <c r="K4" s="30" t="s">
        <v>86</v>
      </c>
      <c r="L4" s="30" t="s">
        <v>87</v>
      </c>
      <c r="M4" s="30" t="s">
        <v>88</v>
      </c>
      <c r="N4" s="31" t="s">
        <v>89</v>
      </c>
      <c r="O4" s="30" t="s">
        <v>90</v>
      </c>
      <c r="P4" s="30" t="s">
        <v>91</v>
      </c>
      <c r="Q4" s="30" t="s">
        <v>92</v>
      </c>
      <c r="R4" s="30" t="s">
        <v>93</v>
      </c>
    </row>
    <row r="5" customFormat="false" ht="15" hidden="false" customHeight="false" outlineLevel="0" collapsed="false">
      <c r="A5" s="32" t="s">
        <v>94</v>
      </c>
      <c r="B5" s="32" t="s">
        <v>27</v>
      </c>
      <c r="C5" s="32" t="s">
        <v>26</v>
      </c>
      <c r="D5" s="32" t="s">
        <v>95</v>
      </c>
      <c r="E5" s="32" t="s">
        <v>33</v>
      </c>
      <c r="F5" s="32"/>
      <c r="G5" s="32" t="s">
        <v>96</v>
      </c>
      <c r="H5" s="33" t="n">
        <v>5</v>
      </c>
      <c r="I5" s="33" t="n">
        <v>5</v>
      </c>
      <c r="J5" s="34" t="str">
        <f aca="false">IF(OR(H5="",I5=""),"",IF(H5&gt;=3,IF(I5&gt;=3,"Manage closely","Keep satisfied"),IF(I5&gt;=3,"Keep informed","Monitor")))</f>
        <v>Manage closely</v>
      </c>
      <c r="K5" s="32" t="s">
        <v>97</v>
      </c>
      <c r="L5" s="32" t="s">
        <v>98</v>
      </c>
      <c r="M5" s="32" t="s">
        <v>99</v>
      </c>
      <c r="N5" s="34" t="str">
        <f aca="false">IF(OR(L5="",M5=""),"",IF(MATCH(L5,Lists!$A$2:$A$6,0)&lt;MATCH(M5,Lists!$A$2:$A$6,0),"Gap","On target"))</f>
        <v>Gap</v>
      </c>
      <c r="O5" s="32" t="s">
        <v>100</v>
      </c>
      <c r="P5" s="32" t="s">
        <v>29</v>
      </c>
      <c r="Q5" s="32" t="s">
        <v>101</v>
      </c>
      <c r="R5" s="35" t="n">
        <v>46315</v>
      </c>
    </row>
    <row r="6" customFormat="false" ht="15" hidden="false" customHeight="false" outlineLevel="0" collapsed="false">
      <c r="A6" s="36" t="s">
        <v>102</v>
      </c>
      <c r="B6" s="36" t="s">
        <v>103</v>
      </c>
      <c r="C6" s="36" t="s">
        <v>104</v>
      </c>
      <c r="D6" s="36" t="s">
        <v>105</v>
      </c>
      <c r="E6" s="36" t="s">
        <v>33</v>
      </c>
      <c r="F6" s="36"/>
      <c r="G6" s="36" t="s">
        <v>106</v>
      </c>
      <c r="H6" s="37" t="n">
        <v>2</v>
      </c>
      <c r="I6" s="37" t="n">
        <v>4</v>
      </c>
      <c r="J6" s="34" t="str">
        <f aca="false">IF(OR(H6="",I6=""),"",IF(H6&gt;=3,IF(I6&gt;=3,"Manage closely","Keep satisfied"),IF(I6&gt;=3,"Keep informed","Monitor")))</f>
        <v>Keep informed</v>
      </c>
      <c r="K6" s="36" t="s">
        <v>107</v>
      </c>
      <c r="L6" s="36" t="s">
        <v>108</v>
      </c>
      <c r="M6" s="36" t="s">
        <v>98</v>
      </c>
      <c r="N6" s="34" t="str">
        <f aca="false">IF(OR(L6="",M6=""),"",IF(MATCH(L6,Lists!$A$2:$A$6,0)&lt;MATCH(M6,Lists!$A$2:$A$6,0),"Gap","On target"))</f>
        <v>Gap</v>
      </c>
      <c r="O6" s="36" t="s">
        <v>109</v>
      </c>
      <c r="P6" s="36" t="s">
        <v>110</v>
      </c>
      <c r="Q6" s="36" t="s">
        <v>111</v>
      </c>
      <c r="R6" s="38" t="n">
        <v>46315</v>
      </c>
    </row>
    <row r="7" customFormat="false" ht="15" hidden="false" customHeight="false" outlineLevel="0" collapsed="false">
      <c r="A7" s="39"/>
      <c r="B7" s="39"/>
      <c r="C7" s="39"/>
      <c r="D7" s="39"/>
      <c r="E7" s="39"/>
      <c r="F7" s="39"/>
      <c r="G7" s="39"/>
      <c r="H7" s="40"/>
      <c r="I7" s="40"/>
      <c r="J7" s="34" t="str">
        <f aca="false">IF(OR(H7="",I7=""),"",IF(H7&gt;=3,IF(I7&gt;=3,"Manage closely","Keep satisfied"),IF(I7&gt;=3,"Keep informed","Monitor")))</f>
        <v/>
      </c>
      <c r="K7" s="39"/>
      <c r="L7" s="39"/>
      <c r="M7" s="39"/>
      <c r="N7" s="34" t="str">
        <f aca="false">IF(OR(L7="",M7=""),"",IF(MATCH(L7,Lists!$A$2:$A$6,0)&lt;MATCH(M7,Lists!$A$2:$A$6,0),"Gap","On target"))</f>
        <v/>
      </c>
      <c r="O7" s="39"/>
      <c r="P7" s="39"/>
      <c r="Q7" s="39"/>
      <c r="R7" s="41"/>
    </row>
    <row r="8" customFormat="false" ht="15" hidden="false" customHeight="false" outlineLevel="0" collapsed="false">
      <c r="A8" s="42"/>
      <c r="B8" s="42"/>
      <c r="C8" s="42"/>
      <c r="D8" s="42"/>
      <c r="E8" s="42"/>
      <c r="F8" s="42"/>
      <c r="G8" s="42"/>
      <c r="H8" s="43"/>
      <c r="I8" s="43"/>
      <c r="J8" s="34" t="str">
        <f aca="false">IF(OR(H8="",I8=""),"",IF(H8&gt;=3,IF(I8&gt;=3,"Manage closely","Keep satisfied"),IF(I8&gt;=3,"Keep informed","Monitor")))</f>
        <v/>
      </c>
      <c r="K8" s="42"/>
      <c r="L8" s="42"/>
      <c r="M8" s="42"/>
      <c r="N8" s="34" t="str">
        <f aca="false">IF(OR(L8="",M8=""),"",IF(MATCH(L8,Lists!$A$2:$A$6,0)&lt;MATCH(M8,Lists!$A$2:$A$6,0),"Gap","On target"))</f>
        <v/>
      </c>
      <c r="O8" s="42"/>
      <c r="P8" s="42"/>
      <c r="Q8" s="42"/>
      <c r="R8" s="44"/>
    </row>
    <row r="9" customFormat="false" ht="15" hidden="false" customHeight="false" outlineLevel="0" collapsed="false">
      <c r="A9" s="39"/>
      <c r="B9" s="39"/>
      <c r="C9" s="39"/>
      <c r="D9" s="39"/>
      <c r="E9" s="39"/>
      <c r="F9" s="39"/>
      <c r="G9" s="39"/>
      <c r="H9" s="40"/>
      <c r="I9" s="40"/>
      <c r="J9" s="34" t="str">
        <f aca="false">IF(OR(H9="",I9=""),"",IF(H9&gt;=3,IF(I9&gt;=3,"Manage closely","Keep satisfied"),IF(I9&gt;=3,"Keep informed","Monitor")))</f>
        <v/>
      </c>
      <c r="K9" s="39"/>
      <c r="L9" s="39"/>
      <c r="M9" s="39"/>
      <c r="N9" s="34" t="str">
        <f aca="false">IF(OR(L9="",M9=""),"",IF(MATCH(L9,Lists!$A$2:$A$6,0)&lt;MATCH(M9,Lists!$A$2:$A$6,0),"Gap","On target"))</f>
        <v/>
      </c>
      <c r="O9" s="39"/>
      <c r="P9" s="39"/>
      <c r="Q9" s="39"/>
      <c r="R9" s="41"/>
    </row>
    <row r="10" customFormat="false" ht="15" hidden="false" customHeight="false" outlineLevel="0" collapsed="false">
      <c r="A10" s="42"/>
      <c r="B10" s="42"/>
      <c r="C10" s="42"/>
      <c r="D10" s="42"/>
      <c r="E10" s="42"/>
      <c r="F10" s="42"/>
      <c r="G10" s="42"/>
      <c r="H10" s="43"/>
      <c r="I10" s="43"/>
      <c r="J10" s="34" t="str">
        <f aca="false">IF(OR(H10="",I10=""),"",IF(H10&gt;=3,IF(I10&gt;=3,"Manage closely","Keep satisfied"),IF(I10&gt;=3,"Keep informed","Monitor")))</f>
        <v/>
      </c>
      <c r="K10" s="42"/>
      <c r="L10" s="42"/>
      <c r="M10" s="42"/>
      <c r="N10" s="34" t="str">
        <f aca="false">IF(OR(L10="",M10=""),"",IF(MATCH(L10,Lists!$A$2:$A$6,0)&lt;MATCH(M10,Lists!$A$2:$A$6,0),"Gap","On target"))</f>
        <v/>
      </c>
      <c r="O10" s="42"/>
      <c r="P10" s="42"/>
      <c r="Q10" s="42"/>
      <c r="R10" s="44"/>
    </row>
    <row r="11" customFormat="false" ht="15" hidden="false" customHeight="false" outlineLevel="0" collapsed="false">
      <c r="A11" s="39"/>
      <c r="B11" s="39"/>
      <c r="C11" s="39"/>
      <c r="D11" s="39"/>
      <c r="E11" s="39"/>
      <c r="F11" s="39"/>
      <c r="G11" s="39"/>
      <c r="H11" s="40"/>
      <c r="I11" s="40"/>
      <c r="J11" s="34" t="str">
        <f aca="false">IF(OR(H11="",I11=""),"",IF(H11&gt;=3,IF(I11&gt;=3,"Manage closely","Keep satisfied"),IF(I11&gt;=3,"Keep informed","Monitor")))</f>
        <v/>
      </c>
      <c r="K11" s="39"/>
      <c r="L11" s="39"/>
      <c r="M11" s="39"/>
      <c r="N11" s="34" t="str">
        <f aca="false">IF(OR(L11="",M11=""),"",IF(MATCH(L11,Lists!$A$2:$A$6,0)&lt;MATCH(M11,Lists!$A$2:$A$6,0),"Gap","On target"))</f>
        <v/>
      </c>
      <c r="O11" s="39"/>
      <c r="P11" s="39"/>
      <c r="Q11" s="39"/>
      <c r="R11" s="41"/>
    </row>
    <row r="12" customFormat="false" ht="15" hidden="false" customHeight="false" outlineLevel="0" collapsed="false">
      <c r="A12" s="42"/>
      <c r="B12" s="42"/>
      <c r="C12" s="42"/>
      <c r="D12" s="42"/>
      <c r="E12" s="42"/>
      <c r="F12" s="42"/>
      <c r="G12" s="42"/>
      <c r="H12" s="43"/>
      <c r="I12" s="43"/>
      <c r="J12" s="34" t="str">
        <f aca="false">IF(OR(H12="",I12=""),"",IF(H12&gt;=3,IF(I12&gt;=3,"Manage closely","Keep satisfied"),IF(I12&gt;=3,"Keep informed","Monitor")))</f>
        <v/>
      </c>
      <c r="K12" s="42"/>
      <c r="L12" s="42"/>
      <c r="M12" s="42"/>
      <c r="N12" s="34" t="str">
        <f aca="false">IF(OR(L12="",M12=""),"",IF(MATCH(L12,Lists!$A$2:$A$6,0)&lt;MATCH(M12,Lists!$A$2:$A$6,0),"Gap","On target"))</f>
        <v/>
      </c>
      <c r="O12" s="42"/>
      <c r="P12" s="42"/>
      <c r="Q12" s="42"/>
      <c r="R12" s="44"/>
    </row>
    <row r="13" customFormat="false" ht="15" hidden="false" customHeight="false" outlineLevel="0" collapsed="false">
      <c r="A13" s="39"/>
      <c r="B13" s="39"/>
      <c r="C13" s="39"/>
      <c r="D13" s="39"/>
      <c r="E13" s="39"/>
      <c r="F13" s="39"/>
      <c r="G13" s="39"/>
      <c r="H13" s="40"/>
      <c r="I13" s="40"/>
      <c r="J13" s="34" t="str">
        <f aca="false">IF(OR(H13="",I13=""),"",IF(H13&gt;=3,IF(I13&gt;=3,"Manage closely","Keep satisfied"),IF(I13&gt;=3,"Keep informed","Monitor")))</f>
        <v/>
      </c>
      <c r="K13" s="39"/>
      <c r="L13" s="39"/>
      <c r="M13" s="39"/>
      <c r="N13" s="34" t="str">
        <f aca="false">IF(OR(L13="",M13=""),"",IF(MATCH(L13,Lists!$A$2:$A$6,0)&lt;MATCH(M13,Lists!$A$2:$A$6,0),"Gap","On target"))</f>
        <v/>
      </c>
      <c r="O13" s="39"/>
      <c r="P13" s="39"/>
      <c r="Q13" s="39"/>
      <c r="R13" s="41"/>
    </row>
    <row r="14" customFormat="false" ht="15" hidden="false" customHeight="false" outlineLevel="0" collapsed="false">
      <c r="A14" s="42"/>
      <c r="B14" s="42"/>
      <c r="C14" s="42"/>
      <c r="D14" s="42"/>
      <c r="E14" s="42"/>
      <c r="F14" s="42"/>
      <c r="G14" s="42"/>
      <c r="H14" s="43"/>
      <c r="I14" s="43"/>
      <c r="J14" s="34" t="str">
        <f aca="false">IF(OR(H14="",I14=""),"",IF(H14&gt;=3,IF(I14&gt;=3,"Manage closely","Keep satisfied"),IF(I14&gt;=3,"Keep informed","Monitor")))</f>
        <v/>
      </c>
      <c r="K14" s="42"/>
      <c r="L14" s="42"/>
      <c r="M14" s="42"/>
      <c r="N14" s="34" t="str">
        <f aca="false">IF(OR(L14="",M14=""),"",IF(MATCH(L14,Lists!$A$2:$A$6,0)&lt;MATCH(M14,Lists!$A$2:$A$6,0),"Gap","On target"))</f>
        <v/>
      </c>
      <c r="O14" s="42"/>
      <c r="P14" s="42"/>
      <c r="Q14" s="42"/>
      <c r="R14" s="44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39"/>
      <c r="G15" s="39"/>
      <c r="H15" s="40"/>
      <c r="I15" s="40"/>
      <c r="J15" s="34" t="str">
        <f aca="false">IF(OR(H15="",I15=""),"",IF(H15&gt;=3,IF(I15&gt;=3,"Manage closely","Keep satisfied"),IF(I15&gt;=3,"Keep informed","Monitor")))</f>
        <v/>
      </c>
      <c r="K15" s="39"/>
      <c r="L15" s="39"/>
      <c r="M15" s="39"/>
      <c r="N15" s="34" t="str">
        <f aca="false">IF(OR(L15="",M15=""),"",IF(MATCH(L15,Lists!$A$2:$A$6,0)&lt;MATCH(M15,Lists!$A$2:$A$6,0),"Gap","On target"))</f>
        <v/>
      </c>
      <c r="O15" s="39"/>
      <c r="P15" s="39"/>
      <c r="Q15" s="39"/>
      <c r="R15" s="41"/>
    </row>
    <row r="16" customFormat="false" ht="15" hidden="false" customHeight="false" outlineLevel="0" collapsed="false">
      <c r="A16" s="42"/>
      <c r="B16" s="42"/>
      <c r="C16" s="42"/>
      <c r="D16" s="42"/>
      <c r="E16" s="42"/>
      <c r="F16" s="42"/>
      <c r="G16" s="42"/>
      <c r="H16" s="43"/>
      <c r="I16" s="43"/>
      <c r="J16" s="34" t="str">
        <f aca="false">IF(OR(H16="",I16=""),"",IF(H16&gt;=3,IF(I16&gt;=3,"Manage closely","Keep satisfied"),IF(I16&gt;=3,"Keep informed","Monitor")))</f>
        <v/>
      </c>
      <c r="K16" s="42"/>
      <c r="L16" s="42"/>
      <c r="M16" s="42"/>
      <c r="N16" s="34" t="str">
        <f aca="false">IF(OR(L16="",M16=""),"",IF(MATCH(L16,Lists!$A$2:$A$6,0)&lt;MATCH(M16,Lists!$A$2:$A$6,0),"Gap","On target"))</f>
        <v/>
      </c>
      <c r="O16" s="42"/>
      <c r="P16" s="42"/>
      <c r="Q16" s="42"/>
      <c r="R16" s="44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39"/>
      <c r="G17" s="39"/>
      <c r="H17" s="40"/>
      <c r="I17" s="40"/>
      <c r="J17" s="34" t="str">
        <f aca="false">IF(OR(H17="",I17=""),"",IF(H17&gt;=3,IF(I17&gt;=3,"Manage closely","Keep satisfied"),IF(I17&gt;=3,"Keep informed","Monitor")))</f>
        <v/>
      </c>
      <c r="K17" s="39"/>
      <c r="L17" s="39"/>
      <c r="M17" s="39"/>
      <c r="N17" s="34" t="str">
        <f aca="false">IF(OR(L17="",M17=""),"",IF(MATCH(L17,Lists!$A$2:$A$6,0)&lt;MATCH(M17,Lists!$A$2:$A$6,0),"Gap","On target"))</f>
        <v/>
      </c>
      <c r="O17" s="39"/>
      <c r="P17" s="39"/>
      <c r="Q17" s="39"/>
      <c r="R17" s="41"/>
    </row>
    <row r="18" customFormat="false" ht="15" hidden="false" customHeight="false" outlineLevel="0" collapsed="false">
      <c r="A18" s="42"/>
      <c r="B18" s="42"/>
      <c r="C18" s="42"/>
      <c r="D18" s="42"/>
      <c r="E18" s="42"/>
      <c r="F18" s="42"/>
      <c r="G18" s="42"/>
      <c r="H18" s="43"/>
      <c r="I18" s="43"/>
      <c r="J18" s="34" t="str">
        <f aca="false">IF(OR(H18="",I18=""),"",IF(H18&gt;=3,IF(I18&gt;=3,"Manage closely","Keep satisfied"),IF(I18&gt;=3,"Keep informed","Monitor")))</f>
        <v/>
      </c>
      <c r="K18" s="42"/>
      <c r="L18" s="42"/>
      <c r="M18" s="42"/>
      <c r="N18" s="34" t="str">
        <f aca="false">IF(OR(L18="",M18=""),"",IF(MATCH(L18,Lists!$A$2:$A$6,0)&lt;MATCH(M18,Lists!$A$2:$A$6,0),"Gap","On target"))</f>
        <v/>
      </c>
      <c r="O18" s="42"/>
      <c r="P18" s="42"/>
      <c r="Q18" s="42"/>
      <c r="R18" s="44"/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39"/>
      <c r="G19" s="39"/>
      <c r="H19" s="40"/>
      <c r="I19" s="40"/>
      <c r="J19" s="34" t="str">
        <f aca="false">IF(OR(H19="",I19=""),"",IF(H19&gt;=3,IF(I19&gt;=3,"Manage closely","Keep satisfied"),IF(I19&gt;=3,"Keep informed","Monitor")))</f>
        <v/>
      </c>
      <c r="K19" s="39"/>
      <c r="L19" s="39"/>
      <c r="M19" s="39"/>
      <c r="N19" s="34" t="str">
        <f aca="false">IF(OR(L19="",M19=""),"",IF(MATCH(L19,Lists!$A$2:$A$6,0)&lt;MATCH(M19,Lists!$A$2:$A$6,0),"Gap","On target"))</f>
        <v/>
      </c>
      <c r="O19" s="39"/>
      <c r="P19" s="39"/>
      <c r="Q19" s="39"/>
      <c r="R19" s="41"/>
    </row>
    <row r="20" customFormat="false" ht="15" hidden="false" customHeight="false" outlineLevel="0" collapsed="false">
      <c r="A20" s="42"/>
      <c r="B20" s="42"/>
      <c r="C20" s="42"/>
      <c r="D20" s="42"/>
      <c r="E20" s="42"/>
      <c r="F20" s="42"/>
      <c r="G20" s="42"/>
      <c r="H20" s="43"/>
      <c r="I20" s="43"/>
      <c r="J20" s="34" t="str">
        <f aca="false">IF(OR(H20="",I20=""),"",IF(H20&gt;=3,IF(I20&gt;=3,"Manage closely","Keep satisfied"),IF(I20&gt;=3,"Keep informed","Monitor")))</f>
        <v/>
      </c>
      <c r="K20" s="42"/>
      <c r="L20" s="42"/>
      <c r="M20" s="42"/>
      <c r="N20" s="34" t="str">
        <f aca="false">IF(OR(L20="",M20=""),"",IF(MATCH(L20,Lists!$A$2:$A$6,0)&lt;MATCH(M20,Lists!$A$2:$A$6,0),"Gap","On target"))</f>
        <v/>
      </c>
      <c r="O20" s="42"/>
      <c r="P20" s="42"/>
      <c r="Q20" s="42"/>
      <c r="R20" s="44"/>
    </row>
    <row r="21" customFormat="false" ht="15" hidden="false" customHeight="false" outlineLevel="0" collapsed="false">
      <c r="A21" s="39"/>
      <c r="B21" s="39"/>
      <c r="C21" s="39"/>
      <c r="D21" s="39"/>
      <c r="E21" s="39"/>
      <c r="F21" s="39"/>
      <c r="G21" s="39"/>
      <c r="H21" s="40"/>
      <c r="I21" s="40"/>
      <c r="J21" s="34" t="str">
        <f aca="false">IF(OR(H21="",I21=""),"",IF(H21&gt;=3,IF(I21&gt;=3,"Manage closely","Keep satisfied"),IF(I21&gt;=3,"Keep informed","Monitor")))</f>
        <v/>
      </c>
      <c r="K21" s="39"/>
      <c r="L21" s="39"/>
      <c r="M21" s="39"/>
      <c r="N21" s="34" t="str">
        <f aca="false">IF(OR(L21="",M21=""),"",IF(MATCH(L21,Lists!$A$2:$A$6,0)&lt;MATCH(M21,Lists!$A$2:$A$6,0),"Gap","On target"))</f>
        <v/>
      </c>
      <c r="O21" s="39"/>
      <c r="P21" s="39"/>
      <c r="Q21" s="39"/>
      <c r="R21" s="41"/>
    </row>
    <row r="22" customFormat="false" ht="15" hidden="false" customHeight="false" outlineLevel="0" collapsed="false">
      <c r="A22" s="42"/>
      <c r="B22" s="42"/>
      <c r="C22" s="42"/>
      <c r="D22" s="42"/>
      <c r="E22" s="42"/>
      <c r="F22" s="42"/>
      <c r="G22" s="42"/>
      <c r="H22" s="43"/>
      <c r="I22" s="43"/>
      <c r="J22" s="34" t="str">
        <f aca="false">IF(OR(H22="",I22=""),"",IF(H22&gt;=3,IF(I22&gt;=3,"Manage closely","Keep satisfied"),IF(I22&gt;=3,"Keep informed","Monitor")))</f>
        <v/>
      </c>
      <c r="K22" s="42"/>
      <c r="L22" s="42"/>
      <c r="M22" s="42"/>
      <c r="N22" s="34" t="str">
        <f aca="false">IF(OR(L22="",M22=""),"",IF(MATCH(L22,Lists!$A$2:$A$6,0)&lt;MATCH(M22,Lists!$A$2:$A$6,0),"Gap","On target"))</f>
        <v/>
      </c>
      <c r="O22" s="42"/>
      <c r="P22" s="42"/>
      <c r="Q22" s="42"/>
      <c r="R22" s="44"/>
    </row>
    <row r="23" customFormat="false" ht="15" hidden="false" customHeight="false" outlineLevel="0" collapsed="false">
      <c r="A23" s="39"/>
      <c r="B23" s="39"/>
      <c r="C23" s="39"/>
      <c r="D23" s="39"/>
      <c r="E23" s="39"/>
      <c r="F23" s="39"/>
      <c r="G23" s="39"/>
      <c r="H23" s="40"/>
      <c r="I23" s="40"/>
      <c r="J23" s="34" t="str">
        <f aca="false">IF(OR(H23="",I23=""),"",IF(H23&gt;=3,IF(I23&gt;=3,"Manage closely","Keep satisfied"),IF(I23&gt;=3,"Keep informed","Monitor")))</f>
        <v/>
      </c>
      <c r="K23" s="39"/>
      <c r="L23" s="39"/>
      <c r="M23" s="39"/>
      <c r="N23" s="34" t="str">
        <f aca="false">IF(OR(L23="",M23=""),"",IF(MATCH(L23,Lists!$A$2:$A$6,0)&lt;MATCH(M23,Lists!$A$2:$A$6,0),"Gap","On target"))</f>
        <v/>
      </c>
      <c r="O23" s="39"/>
      <c r="P23" s="39"/>
      <c r="Q23" s="39"/>
      <c r="R23" s="41"/>
    </row>
    <row r="24" customFormat="false" ht="15" hidden="false" customHeight="false" outlineLevel="0" collapsed="false">
      <c r="A24" s="42"/>
      <c r="B24" s="42"/>
      <c r="C24" s="42"/>
      <c r="D24" s="42"/>
      <c r="E24" s="42"/>
      <c r="F24" s="42"/>
      <c r="G24" s="42"/>
      <c r="H24" s="43"/>
      <c r="I24" s="43"/>
      <c r="J24" s="34" t="str">
        <f aca="false">IF(OR(H24="",I24=""),"",IF(H24&gt;=3,IF(I24&gt;=3,"Manage closely","Keep satisfied"),IF(I24&gt;=3,"Keep informed","Monitor")))</f>
        <v/>
      </c>
      <c r="K24" s="42"/>
      <c r="L24" s="42"/>
      <c r="M24" s="42"/>
      <c r="N24" s="34" t="str">
        <f aca="false">IF(OR(L24="",M24=""),"",IF(MATCH(L24,Lists!$A$2:$A$6,0)&lt;MATCH(M24,Lists!$A$2:$A$6,0),"Gap","On target"))</f>
        <v/>
      </c>
      <c r="O24" s="42"/>
      <c r="P24" s="42"/>
      <c r="Q24" s="42"/>
      <c r="R24" s="44"/>
    </row>
    <row r="25" customFormat="false" ht="15" hidden="false" customHeight="false" outlineLevel="0" collapsed="false">
      <c r="A25" s="39"/>
      <c r="B25" s="39"/>
      <c r="C25" s="39"/>
      <c r="D25" s="39"/>
      <c r="E25" s="39"/>
      <c r="F25" s="39"/>
      <c r="G25" s="39"/>
      <c r="H25" s="40"/>
      <c r="I25" s="40"/>
      <c r="J25" s="34" t="str">
        <f aca="false">IF(OR(H25="",I25=""),"",IF(H25&gt;=3,IF(I25&gt;=3,"Manage closely","Keep satisfied"),IF(I25&gt;=3,"Keep informed","Monitor")))</f>
        <v/>
      </c>
      <c r="K25" s="39"/>
      <c r="L25" s="39"/>
      <c r="M25" s="39"/>
      <c r="N25" s="34" t="str">
        <f aca="false">IF(OR(L25="",M25=""),"",IF(MATCH(L25,Lists!$A$2:$A$6,0)&lt;MATCH(M25,Lists!$A$2:$A$6,0),"Gap","On target"))</f>
        <v/>
      </c>
      <c r="O25" s="39"/>
      <c r="P25" s="39"/>
      <c r="Q25" s="39"/>
      <c r="R25" s="41"/>
    </row>
    <row r="26" customFormat="false" ht="15" hidden="false" customHeight="false" outlineLevel="0" collapsed="false">
      <c r="A26" s="42"/>
      <c r="B26" s="42"/>
      <c r="C26" s="42"/>
      <c r="D26" s="42"/>
      <c r="E26" s="42"/>
      <c r="F26" s="42"/>
      <c r="G26" s="42"/>
      <c r="H26" s="43"/>
      <c r="I26" s="43"/>
      <c r="J26" s="34" t="str">
        <f aca="false">IF(OR(H26="",I26=""),"",IF(H26&gt;=3,IF(I26&gt;=3,"Manage closely","Keep satisfied"),IF(I26&gt;=3,"Keep informed","Monitor")))</f>
        <v/>
      </c>
      <c r="K26" s="42"/>
      <c r="L26" s="42"/>
      <c r="M26" s="42"/>
      <c r="N26" s="34" t="str">
        <f aca="false">IF(OR(L26="",M26=""),"",IF(MATCH(L26,Lists!$A$2:$A$6,0)&lt;MATCH(M26,Lists!$A$2:$A$6,0),"Gap","On target"))</f>
        <v/>
      </c>
      <c r="O26" s="42"/>
      <c r="P26" s="42"/>
      <c r="Q26" s="42"/>
      <c r="R26" s="44"/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39"/>
      <c r="G27" s="39"/>
      <c r="H27" s="40"/>
      <c r="I27" s="40"/>
      <c r="J27" s="34" t="str">
        <f aca="false">IF(OR(H27="",I27=""),"",IF(H27&gt;=3,IF(I27&gt;=3,"Manage closely","Keep satisfied"),IF(I27&gt;=3,"Keep informed","Monitor")))</f>
        <v/>
      </c>
      <c r="K27" s="39"/>
      <c r="L27" s="39"/>
      <c r="M27" s="39"/>
      <c r="N27" s="34" t="str">
        <f aca="false">IF(OR(L27="",M27=""),"",IF(MATCH(L27,Lists!$A$2:$A$6,0)&lt;MATCH(M27,Lists!$A$2:$A$6,0),"Gap","On target"))</f>
        <v/>
      </c>
      <c r="O27" s="39"/>
      <c r="P27" s="39"/>
      <c r="Q27" s="39"/>
      <c r="R27" s="41"/>
    </row>
    <row r="28" customFormat="false" ht="15" hidden="false" customHeight="false" outlineLevel="0" collapsed="false">
      <c r="A28" s="42"/>
      <c r="B28" s="42"/>
      <c r="C28" s="42"/>
      <c r="D28" s="42"/>
      <c r="E28" s="42"/>
      <c r="F28" s="42"/>
      <c r="G28" s="42"/>
      <c r="H28" s="43"/>
      <c r="I28" s="43"/>
      <c r="J28" s="34" t="str">
        <f aca="false">IF(OR(H28="",I28=""),"",IF(H28&gt;=3,IF(I28&gt;=3,"Manage closely","Keep satisfied"),IF(I28&gt;=3,"Keep informed","Monitor")))</f>
        <v/>
      </c>
      <c r="K28" s="42"/>
      <c r="L28" s="42"/>
      <c r="M28" s="42"/>
      <c r="N28" s="34" t="str">
        <f aca="false">IF(OR(L28="",M28=""),"",IF(MATCH(L28,Lists!$A$2:$A$6,0)&lt;MATCH(M28,Lists!$A$2:$A$6,0),"Gap","On target"))</f>
        <v/>
      </c>
      <c r="O28" s="42"/>
      <c r="P28" s="42"/>
      <c r="Q28" s="42"/>
      <c r="R28" s="44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39"/>
      <c r="G29" s="39"/>
      <c r="H29" s="40"/>
      <c r="I29" s="40"/>
      <c r="J29" s="34" t="str">
        <f aca="false">IF(OR(H29="",I29=""),"",IF(H29&gt;=3,IF(I29&gt;=3,"Manage closely","Keep satisfied"),IF(I29&gt;=3,"Keep informed","Monitor")))</f>
        <v/>
      </c>
      <c r="K29" s="39"/>
      <c r="L29" s="39"/>
      <c r="M29" s="39"/>
      <c r="N29" s="34" t="str">
        <f aca="false">IF(OR(L29="",M29=""),"",IF(MATCH(L29,Lists!$A$2:$A$6,0)&lt;MATCH(M29,Lists!$A$2:$A$6,0),"Gap","On target"))</f>
        <v/>
      </c>
      <c r="O29" s="39"/>
      <c r="P29" s="39"/>
      <c r="Q29" s="39"/>
      <c r="R29" s="41"/>
    </row>
    <row r="30" customFormat="false" ht="15" hidden="false" customHeight="false" outlineLevel="0" collapsed="false">
      <c r="A30" s="42"/>
      <c r="B30" s="42"/>
      <c r="C30" s="42"/>
      <c r="D30" s="42"/>
      <c r="E30" s="42"/>
      <c r="F30" s="42"/>
      <c r="G30" s="42"/>
      <c r="H30" s="43"/>
      <c r="I30" s="43"/>
      <c r="J30" s="34" t="str">
        <f aca="false">IF(OR(H30="",I30=""),"",IF(H30&gt;=3,IF(I30&gt;=3,"Manage closely","Keep satisfied"),IF(I30&gt;=3,"Keep informed","Monitor")))</f>
        <v/>
      </c>
      <c r="K30" s="42"/>
      <c r="L30" s="42"/>
      <c r="M30" s="42"/>
      <c r="N30" s="34" t="str">
        <f aca="false">IF(OR(L30="",M30=""),"",IF(MATCH(L30,Lists!$A$2:$A$6,0)&lt;MATCH(M30,Lists!$A$2:$A$6,0),"Gap","On target"))</f>
        <v/>
      </c>
      <c r="O30" s="42"/>
      <c r="P30" s="42"/>
      <c r="Q30" s="42"/>
      <c r="R30" s="44"/>
    </row>
    <row r="31" customFormat="false" ht="15" hidden="false" customHeight="false" outlineLevel="0" collapsed="false">
      <c r="A31" s="39"/>
      <c r="B31" s="39"/>
      <c r="C31" s="39"/>
      <c r="D31" s="39"/>
      <c r="E31" s="39"/>
      <c r="F31" s="39"/>
      <c r="G31" s="39"/>
      <c r="H31" s="40"/>
      <c r="I31" s="40"/>
      <c r="J31" s="34" t="str">
        <f aca="false">IF(OR(H31="",I31=""),"",IF(H31&gt;=3,IF(I31&gt;=3,"Manage closely","Keep satisfied"),IF(I31&gt;=3,"Keep informed","Monitor")))</f>
        <v/>
      </c>
      <c r="K31" s="39"/>
      <c r="L31" s="39"/>
      <c r="M31" s="39"/>
      <c r="N31" s="34" t="str">
        <f aca="false">IF(OR(L31="",M31=""),"",IF(MATCH(L31,Lists!$A$2:$A$6,0)&lt;MATCH(M31,Lists!$A$2:$A$6,0),"Gap","On target"))</f>
        <v/>
      </c>
      <c r="O31" s="39"/>
      <c r="P31" s="39"/>
      <c r="Q31" s="39"/>
      <c r="R31" s="41"/>
    </row>
    <row r="32" customFormat="false" ht="15" hidden="false" customHeight="false" outlineLevel="0" collapsed="false">
      <c r="A32" s="42"/>
      <c r="B32" s="42"/>
      <c r="C32" s="42"/>
      <c r="D32" s="42"/>
      <c r="E32" s="42"/>
      <c r="F32" s="42"/>
      <c r="G32" s="42"/>
      <c r="H32" s="43"/>
      <c r="I32" s="43"/>
      <c r="J32" s="34" t="str">
        <f aca="false">IF(OR(H32="",I32=""),"",IF(H32&gt;=3,IF(I32&gt;=3,"Manage closely","Keep satisfied"),IF(I32&gt;=3,"Keep informed","Monitor")))</f>
        <v/>
      </c>
      <c r="K32" s="42"/>
      <c r="L32" s="42"/>
      <c r="M32" s="42"/>
      <c r="N32" s="34" t="str">
        <f aca="false">IF(OR(L32="",M32=""),"",IF(MATCH(L32,Lists!$A$2:$A$6,0)&lt;MATCH(M32,Lists!$A$2:$A$6,0),"Gap","On target"))</f>
        <v/>
      </c>
      <c r="O32" s="42"/>
      <c r="P32" s="42"/>
      <c r="Q32" s="42"/>
      <c r="R32" s="44"/>
    </row>
    <row r="33" customFormat="false" ht="15" hidden="false" customHeight="false" outlineLevel="0" collapsed="false">
      <c r="A33" s="39"/>
      <c r="B33" s="39"/>
      <c r="C33" s="39"/>
      <c r="D33" s="39"/>
      <c r="E33" s="39"/>
      <c r="F33" s="39"/>
      <c r="G33" s="39"/>
      <c r="H33" s="40"/>
      <c r="I33" s="40"/>
      <c r="J33" s="34" t="str">
        <f aca="false">IF(OR(H33="",I33=""),"",IF(H33&gt;=3,IF(I33&gt;=3,"Manage closely","Keep satisfied"),IF(I33&gt;=3,"Keep informed","Monitor")))</f>
        <v/>
      </c>
      <c r="K33" s="39"/>
      <c r="L33" s="39"/>
      <c r="M33" s="39"/>
      <c r="N33" s="34" t="str">
        <f aca="false">IF(OR(L33="",M33=""),"",IF(MATCH(L33,Lists!$A$2:$A$6,0)&lt;MATCH(M33,Lists!$A$2:$A$6,0),"Gap","On target"))</f>
        <v/>
      </c>
      <c r="O33" s="39"/>
      <c r="P33" s="39"/>
      <c r="Q33" s="39"/>
      <c r="R33" s="41"/>
    </row>
    <row r="34" customFormat="false" ht="15" hidden="false" customHeight="false" outlineLevel="0" collapsed="false">
      <c r="A34" s="42"/>
      <c r="B34" s="42"/>
      <c r="C34" s="42"/>
      <c r="D34" s="42"/>
      <c r="E34" s="42"/>
      <c r="F34" s="42"/>
      <c r="G34" s="42"/>
      <c r="H34" s="43"/>
      <c r="I34" s="43"/>
      <c r="J34" s="34" t="str">
        <f aca="false">IF(OR(H34="",I34=""),"",IF(H34&gt;=3,IF(I34&gt;=3,"Manage closely","Keep satisfied"),IF(I34&gt;=3,"Keep informed","Monitor")))</f>
        <v/>
      </c>
      <c r="K34" s="42"/>
      <c r="L34" s="42"/>
      <c r="M34" s="42"/>
      <c r="N34" s="34" t="str">
        <f aca="false">IF(OR(L34="",M34=""),"",IF(MATCH(L34,Lists!$A$2:$A$6,0)&lt;MATCH(M34,Lists!$A$2:$A$6,0),"Gap","On target"))</f>
        <v/>
      </c>
      <c r="O34" s="42"/>
      <c r="P34" s="42"/>
      <c r="Q34" s="42"/>
      <c r="R34" s="44"/>
    </row>
    <row r="35" customFormat="false" ht="15" hidden="false" customHeight="false" outlineLevel="0" collapsed="false">
      <c r="A35" s="39"/>
      <c r="B35" s="39"/>
      <c r="C35" s="39"/>
      <c r="D35" s="39"/>
      <c r="E35" s="39"/>
      <c r="F35" s="39"/>
      <c r="G35" s="39"/>
      <c r="H35" s="40"/>
      <c r="I35" s="40"/>
      <c r="J35" s="34" t="str">
        <f aca="false">IF(OR(H35="",I35=""),"",IF(H35&gt;=3,IF(I35&gt;=3,"Manage closely","Keep satisfied"),IF(I35&gt;=3,"Keep informed","Monitor")))</f>
        <v/>
      </c>
      <c r="K35" s="39"/>
      <c r="L35" s="39"/>
      <c r="M35" s="39"/>
      <c r="N35" s="34" t="str">
        <f aca="false">IF(OR(L35="",M35=""),"",IF(MATCH(L35,Lists!$A$2:$A$6,0)&lt;MATCH(M35,Lists!$A$2:$A$6,0),"Gap","On target"))</f>
        <v/>
      </c>
      <c r="O35" s="39"/>
      <c r="P35" s="39"/>
      <c r="Q35" s="39"/>
      <c r="R35" s="41"/>
    </row>
    <row r="36" customFormat="false" ht="15" hidden="false" customHeight="false" outlineLevel="0" collapsed="false">
      <c r="A36" s="42"/>
      <c r="B36" s="42"/>
      <c r="C36" s="42"/>
      <c r="D36" s="42"/>
      <c r="E36" s="42"/>
      <c r="F36" s="42"/>
      <c r="G36" s="42"/>
      <c r="H36" s="43"/>
      <c r="I36" s="43"/>
      <c r="J36" s="34" t="str">
        <f aca="false">IF(OR(H36="",I36=""),"",IF(H36&gt;=3,IF(I36&gt;=3,"Manage closely","Keep satisfied"),IF(I36&gt;=3,"Keep informed","Monitor")))</f>
        <v/>
      </c>
      <c r="K36" s="42"/>
      <c r="L36" s="42"/>
      <c r="M36" s="42"/>
      <c r="N36" s="34" t="str">
        <f aca="false">IF(OR(L36="",M36=""),"",IF(MATCH(L36,Lists!$A$2:$A$6,0)&lt;MATCH(M36,Lists!$A$2:$A$6,0),"Gap","On target"))</f>
        <v/>
      </c>
      <c r="O36" s="42"/>
      <c r="P36" s="42"/>
      <c r="Q36" s="42"/>
      <c r="R36" s="44"/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39"/>
      <c r="G37" s="39"/>
      <c r="H37" s="40"/>
      <c r="I37" s="40"/>
      <c r="J37" s="34" t="str">
        <f aca="false">IF(OR(H37="",I37=""),"",IF(H37&gt;=3,IF(I37&gt;=3,"Manage closely","Keep satisfied"),IF(I37&gt;=3,"Keep informed","Monitor")))</f>
        <v/>
      </c>
      <c r="K37" s="39"/>
      <c r="L37" s="39"/>
      <c r="M37" s="39"/>
      <c r="N37" s="34" t="str">
        <f aca="false">IF(OR(L37="",M37=""),"",IF(MATCH(L37,Lists!$A$2:$A$6,0)&lt;MATCH(M37,Lists!$A$2:$A$6,0),"Gap","On target"))</f>
        <v/>
      </c>
      <c r="O37" s="39"/>
      <c r="P37" s="39"/>
      <c r="Q37" s="39"/>
      <c r="R37" s="41"/>
    </row>
    <row r="38" customFormat="false" ht="15" hidden="false" customHeight="false" outlineLevel="0" collapsed="false">
      <c r="A38" s="42"/>
      <c r="B38" s="42"/>
      <c r="C38" s="42"/>
      <c r="D38" s="42"/>
      <c r="E38" s="42"/>
      <c r="F38" s="42"/>
      <c r="G38" s="42"/>
      <c r="H38" s="43"/>
      <c r="I38" s="43"/>
      <c r="J38" s="34" t="str">
        <f aca="false">IF(OR(H38="",I38=""),"",IF(H38&gt;=3,IF(I38&gt;=3,"Manage closely","Keep satisfied"),IF(I38&gt;=3,"Keep informed","Monitor")))</f>
        <v/>
      </c>
      <c r="K38" s="42"/>
      <c r="L38" s="42"/>
      <c r="M38" s="42"/>
      <c r="N38" s="34" t="str">
        <f aca="false">IF(OR(L38="",M38=""),"",IF(MATCH(L38,Lists!$A$2:$A$6,0)&lt;MATCH(M38,Lists!$A$2:$A$6,0),"Gap","On target"))</f>
        <v/>
      </c>
      <c r="O38" s="42"/>
      <c r="P38" s="42"/>
      <c r="Q38" s="42"/>
      <c r="R38" s="44"/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39"/>
      <c r="G39" s="39"/>
      <c r="H39" s="40"/>
      <c r="I39" s="40"/>
      <c r="J39" s="34" t="str">
        <f aca="false">IF(OR(H39="",I39=""),"",IF(H39&gt;=3,IF(I39&gt;=3,"Manage closely","Keep satisfied"),IF(I39&gt;=3,"Keep informed","Monitor")))</f>
        <v/>
      </c>
      <c r="K39" s="39"/>
      <c r="L39" s="39"/>
      <c r="M39" s="39"/>
      <c r="N39" s="34" t="str">
        <f aca="false">IF(OR(L39="",M39=""),"",IF(MATCH(L39,Lists!$A$2:$A$6,0)&lt;MATCH(M39,Lists!$A$2:$A$6,0),"Gap","On target"))</f>
        <v/>
      </c>
      <c r="O39" s="39"/>
      <c r="P39" s="39"/>
      <c r="Q39" s="39"/>
      <c r="R39" s="41"/>
    </row>
    <row r="40" customFormat="false" ht="15" hidden="false" customHeight="false" outlineLevel="0" collapsed="false">
      <c r="A40" s="42"/>
      <c r="B40" s="42"/>
      <c r="C40" s="42"/>
      <c r="D40" s="42"/>
      <c r="E40" s="42"/>
      <c r="F40" s="42"/>
      <c r="G40" s="42"/>
      <c r="H40" s="43"/>
      <c r="I40" s="43"/>
      <c r="J40" s="34" t="str">
        <f aca="false">IF(OR(H40="",I40=""),"",IF(H40&gt;=3,IF(I40&gt;=3,"Manage closely","Keep satisfied"),IF(I40&gt;=3,"Keep informed","Monitor")))</f>
        <v/>
      </c>
      <c r="K40" s="42"/>
      <c r="L40" s="42"/>
      <c r="M40" s="42"/>
      <c r="N40" s="34" t="str">
        <f aca="false">IF(OR(L40="",M40=""),"",IF(MATCH(L40,Lists!$A$2:$A$6,0)&lt;MATCH(M40,Lists!$A$2:$A$6,0),"Gap","On target"))</f>
        <v/>
      </c>
      <c r="O40" s="42"/>
      <c r="P40" s="42"/>
      <c r="Q40" s="42"/>
      <c r="R40" s="44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39"/>
      <c r="G41" s="39"/>
      <c r="H41" s="40"/>
      <c r="I41" s="40"/>
      <c r="J41" s="34" t="str">
        <f aca="false">IF(OR(H41="",I41=""),"",IF(H41&gt;=3,IF(I41&gt;=3,"Manage closely","Keep satisfied"),IF(I41&gt;=3,"Keep informed","Monitor")))</f>
        <v/>
      </c>
      <c r="K41" s="39"/>
      <c r="L41" s="39"/>
      <c r="M41" s="39"/>
      <c r="N41" s="34" t="str">
        <f aca="false">IF(OR(L41="",M41=""),"",IF(MATCH(L41,Lists!$A$2:$A$6,0)&lt;MATCH(M41,Lists!$A$2:$A$6,0),"Gap","On target"))</f>
        <v/>
      </c>
      <c r="O41" s="39"/>
      <c r="P41" s="39"/>
      <c r="Q41" s="39"/>
      <c r="R41" s="41"/>
    </row>
    <row r="42" customFormat="false" ht="15" hidden="false" customHeight="false" outlineLevel="0" collapsed="false">
      <c r="A42" s="42"/>
      <c r="B42" s="42"/>
      <c r="C42" s="42"/>
      <c r="D42" s="42"/>
      <c r="E42" s="42"/>
      <c r="F42" s="42"/>
      <c r="G42" s="42"/>
      <c r="H42" s="43"/>
      <c r="I42" s="43"/>
      <c r="J42" s="34" t="str">
        <f aca="false">IF(OR(H42="",I42=""),"",IF(H42&gt;=3,IF(I42&gt;=3,"Manage closely","Keep satisfied"),IF(I42&gt;=3,"Keep informed","Monitor")))</f>
        <v/>
      </c>
      <c r="K42" s="42"/>
      <c r="L42" s="42"/>
      <c r="M42" s="42"/>
      <c r="N42" s="34" t="str">
        <f aca="false">IF(OR(L42="",M42=""),"",IF(MATCH(L42,Lists!$A$2:$A$6,0)&lt;MATCH(M42,Lists!$A$2:$A$6,0),"Gap","On target"))</f>
        <v/>
      </c>
      <c r="O42" s="42"/>
      <c r="P42" s="42"/>
      <c r="Q42" s="42"/>
      <c r="R42" s="44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39"/>
      <c r="G43" s="39"/>
      <c r="H43" s="40"/>
      <c r="I43" s="40"/>
      <c r="J43" s="34" t="str">
        <f aca="false">IF(OR(H43="",I43=""),"",IF(H43&gt;=3,IF(I43&gt;=3,"Manage closely","Keep satisfied"),IF(I43&gt;=3,"Keep informed","Monitor")))</f>
        <v/>
      </c>
      <c r="K43" s="39"/>
      <c r="L43" s="39"/>
      <c r="M43" s="39"/>
      <c r="N43" s="34" t="str">
        <f aca="false">IF(OR(L43="",M43=""),"",IF(MATCH(L43,Lists!$A$2:$A$6,0)&lt;MATCH(M43,Lists!$A$2:$A$6,0),"Gap","On target"))</f>
        <v/>
      </c>
      <c r="O43" s="39"/>
      <c r="P43" s="39"/>
      <c r="Q43" s="39"/>
      <c r="R43" s="41"/>
    </row>
    <row r="44" customFormat="false" ht="15" hidden="false" customHeight="false" outlineLevel="0" collapsed="false">
      <c r="A44" s="42"/>
      <c r="B44" s="42"/>
      <c r="C44" s="42"/>
      <c r="D44" s="42"/>
      <c r="E44" s="42"/>
      <c r="F44" s="42"/>
      <c r="G44" s="42"/>
      <c r="H44" s="43"/>
      <c r="I44" s="43"/>
      <c r="J44" s="34" t="str">
        <f aca="false">IF(OR(H44="",I44=""),"",IF(H44&gt;=3,IF(I44&gt;=3,"Manage closely","Keep satisfied"),IF(I44&gt;=3,"Keep informed","Monitor")))</f>
        <v/>
      </c>
      <c r="K44" s="42"/>
      <c r="L44" s="42"/>
      <c r="M44" s="42"/>
      <c r="N44" s="34" t="str">
        <f aca="false">IF(OR(L44="",M44=""),"",IF(MATCH(L44,Lists!$A$2:$A$6,0)&lt;MATCH(M44,Lists!$A$2:$A$6,0),"Gap","On target"))</f>
        <v/>
      </c>
      <c r="O44" s="42"/>
      <c r="P44" s="42"/>
      <c r="Q44" s="42"/>
      <c r="R44" s="44"/>
    </row>
    <row r="45" customFormat="false" ht="15" hidden="false" customHeight="false" outlineLevel="0" collapsed="false">
      <c r="A45" s="39"/>
      <c r="B45" s="39"/>
      <c r="C45" s="39"/>
      <c r="D45" s="39"/>
      <c r="E45" s="39"/>
      <c r="F45" s="39"/>
      <c r="G45" s="39"/>
      <c r="H45" s="40"/>
      <c r="I45" s="40"/>
      <c r="J45" s="34" t="str">
        <f aca="false">IF(OR(H45="",I45=""),"",IF(H45&gt;=3,IF(I45&gt;=3,"Manage closely","Keep satisfied"),IF(I45&gt;=3,"Keep informed","Monitor")))</f>
        <v/>
      </c>
      <c r="K45" s="39"/>
      <c r="L45" s="39"/>
      <c r="M45" s="39"/>
      <c r="N45" s="34" t="str">
        <f aca="false">IF(OR(L45="",M45=""),"",IF(MATCH(L45,Lists!$A$2:$A$6,0)&lt;MATCH(M45,Lists!$A$2:$A$6,0),"Gap","On target"))</f>
        <v/>
      </c>
      <c r="O45" s="39"/>
      <c r="P45" s="39"/>
      <c r="Q45" s="39"/>
      <c r="R45" s="41"/>
    </row>
    <row r="46" customFormat="false" ht="15" hidden="false" customHeight="false" outlineLevel="0" collapsed="false">
      <c r="A46" s="42"/>
      <c r="B46" s="42"/>
      <c r="C46" s="42"/>
      <c r="D46" s="42"/>
      <c r="E46" s="42"/>
      <c r="F46" s="42"/>
      <c r="G46" s="42"/>
      <c r="H46" s="43"/>
      <c r="I46" s="43"/>
      <c r="J46" s="34" t="str">
        <f aca="false">IF(OR(H46="",I46=""),"",IF(H46&gt;=3,IF(I46&gt;=3,"Manage closely","Keep satisfied"),IF(I46&gt;=3,"Keep informed","Monitor")))</f>
        <v/>
      </c>
      <c r="K46" s="42"/>
      <c r="L46" s="42"/>
      <c r="M46" s="42"/>
      <c r="N46" s="34" t="str">
        <f aca="false">IF(OR(L46="",M46=""),"",IF(MATCH(L46,Lists!$A$2:$A$6,0)&lt;MATCH(M46,Lists!$A$2:$A$6,0),"Gap","On target"))</f>
        <v/>
      </c>
      <c r="O46" s="42"/>
      <c r="P46" s="42"/>
      <c r="Q46" s="42"/>
      <c r="R46" s="44"/>
    </row>
    <row r="47" customFormat="false" ht="15" hidden="false" customHeight="false" outlineLevel="0" collapsed="false">
      <c r="A47" s="39"/>
      <c r="B47" s="39"/>
      <c r="C47" s="39"/>
      <c r="D47" s="39"/>
      <c r="E47" s="39"/>
      <c r="F47" s="39"/>
      <c r="G47" s="39"/>
      <c r="H47" s="40"/>
      <c r="I47" s="40"/>
      <c r="J47" s="34" t="str">
        <f aca="false">IF(OR(H47="",I47=""),"",IF(H47&gt;=3,IF(I47&gt;=3,"Manage closely","Keep satisfied"),IF(I47&gt;=3,"Keep informed","Monitor")))</f>
        <v/>
      </c>
      <c r="K47" s="39"/>
      <c r="L47" s="39"/>
      <c r="M47" s="39"/>
      <c r="N47" s="34" t="str">
        <f aca="false">IF(OR(L47="",M47=""),"",IF(MATCH(L47,Lists!$A$2:$A$6,0)&lt;MATCH(M47,Lists!$A$2:$A$6,0),"Gap","On target"))</f>
        <v/>
      </c>
      <c r="O47" s="39"/>
      <c r="P47" s="39"/>
      <c r="Q47" s="39"/>
      <c r="R47" s="41"/>
    </row>
    <row r="48" customFormat="false" ht="15" hidden="false" customHeight="false" outlineLevel="0" collapsed="false">
      <c r="A48" s="42"/>
      <c r="B48" s="42"/>
      <c r="C48" s="42"/>
      <c r="D48" s="42"/>
      <c r="E48" s="42"/>
      <c r="F48" s="42"/>
      <c r="G48" s="42"/>
      <c r="H48" s="43"/>
      <c r="I48" s="43"/>
      <c r="J48" s="34" t="str">
        <f aca="false">IF(OR(H48="",I48=""),"",IF(H48&gt;=3,IF(I48&gt;=3,"Manage closely","Keep satisfied"),IF(I48&gt;=3,"Keep informed","Monitor")))</f>
        <v/>
      </c>
      <c r="K48" s="42"/>
      <c r="L48" s="42"/>
      <c r="M48" s="42"/>
      <c r="N48" s="34" t="str">
        <f aca="false">IF(OR(L48="",M48=""),"",IF(MATCH(L48,Lists!$A$2:$A$6,0)&lt;MATCH(M48,Lists!$A$2:$A$6,0),"Gap","On target"))</f>
        <v/>
      </c>
      <c r="O48" s="42"/>
      <c r="P48" s="42"/>
      <c r="Q48" s="42"/>
      <c r="R48" s="44"/>
    </row>
    <row r="49" customFormat="false" ht="15" hidden="false" customHeight="false" outlineLevel="0" collapsed="false">
      <c r="A49" s="39"/>
      <c r="B49" s="39"/>
      <c r="C49" s="39"/>
      <c r="D49" s="39"/>
      <c r="E49" s="39"/>
      <c r="F49" s="39"/>
      <c r="G49" s="39"/>
      <c r="H49" s="40"/>
      <c r="I49" s="40"/>
      <c r="J49" s="34" t="str">
        <f aca="false">IF(OR(H49="",I49=""),"",IF(H49&gt;=3,IF(I49&gt;=3,"Manage closely","Keep satisfied"),IF(I49&gt;=3,"Keep informed","Monitor")))</f>
        <v/>
      </c>
      <c r="K49" s="39"/>
      <c r="L49" s="39"/>
      <c r="M49" s="39"/>
      <c r="N49" s="34" t="str">
        <f aca="false">IF(OR(L49="",M49=""),"",IF(MATCH(L49,Lists!$A$2:$A$6,0)&lt;MATCH(M49,Lists!$A$2:$A$6,0),"Gap","On target"))</f>
        <v/>
      </c>
      <c r="O49" s="39"/>
      <c r="P49" s="39"/>
      <c r="Q49" s="39"/>
      <c r="R49" s="41"/>
    </row>
    <row r="50" customFormat="false" ht="15" hidden="false" customHeight="false" outlineLevel="0" collapsed="false">
      <c r="A50" s="42"/>
      <c r="B50" s="42"/>
      <c r="C50" s="42"/>
      <c r="D50" s="42"/>
      <c r="E50" s="42"/>
      <c r="F50" s="42"/>
      <c r="G50" s="42"/>
      <c r="H50" s="43"/>
      <c r="I50" s="43"/>
      <c r="J50" s="34" t="str">
        <f aca="false">IF(OR(H50="",I50=""),"",IF(H50&gt;=3,IF(I50&gt;=3,"Manage closely","Keep satisfied"),IF(I50&gt;=3,"Keep informed","Monitor")))</f>
        <v/>
      </c>
      <c r="K50" s="42"/>
      <c r="L50" s="42"/>
      <c r="M50" s="42"/>
      <c r="N50" s="34" t="str">
        <f aca="false">IF(OR(L50="",M50=""),"",IF(MATCH(L50,Lists!$A$2:$A$6,0)&lt;MATCH(M50,Lists!$A$2:$A$6,0),"Gap","On target"))</f>
        <v/>
      </c>
      <c r="O50" s="42"/>
      <c r="P50" s="42"/>
      <c r="Q50" s="42"/>
      <c r="R50" s="44"/>
    </row>
    <row r="51" customFormat="false" ht="15" hidden="false" customHeight="false" outlineLevel="0" collapsed="false">
      <c r="A51" s="39"/>
      <c r="B51" s="39"/>
      <c r="C51" s="39"/>
      <c r="D51" s="39"/>
      <c r="E51" s="39"/>
      <c r="F51" s="39"/>
      <c r="G51" s="39"/>
      <c r="H51" s="40"/>
      <c r="I51" s="40"/>
      <c r="J51" s="34" t="str">
        <f aca="false">IF(OR(H51="",I51=""),"",IF(H51&gt;=3,IF(I51&gt;=3,"Manage closely","Keep satisfied"),IF(I51&gt;=3,"Keep informed","Monitor")))</f>
        <v/>
      </c>
      <c r="K51" s="39"/>
      <c r="L51" s="39"/>
      <c r="M51" s="39"/>
      <c r="N51" s="34" t="str">
        <f aca="false">IF(OR(L51="",M51=""),"",IF(MATCH(L51,Lists!$A$2:$A$6,0)&lt;MATCH(M51,Lists!$A$2:$A$6,0),"Gap","On target"))</f>
        <v/>
      </c>
      <c r="O51" s="39"/>
      <c r="P51" s="39"/>
      <c r="Q51" s="39"/>
      <c r="R51" s="41"/>
    </row>
    <row r="52" customFormat="false" ht="15" hidden="false" customHeight="false" outlineLevel="0" collapsed="false">
      <c r="A52" s="42"/>
      <c r="B52" s="42"/>
      <c r="C52" s="42"/>
      <c r="D52" s="42"/>
      <c r="E52" s="42"/>
      <c r="F52" s="42"/>
      <c r="G52" s="42"/>
      <c r="H52" s="43"/>
      <c r="I52" s="43"/>
      <c r="J52" s="34" t="str">
        <f aca="false">IF(OR(H52="",I52=""),"",IF(H52&gt;=3,IF(I52&gt;=3,"Manage closely","Keep satisfied"),IF(I52&gt;=3,"Keep informed","Monitor")))</f>
        <v/>
      </c>
      <c r="K52" s="42"/>
      <c r="L52" s="42"/>
      <c r="M52" s="42"/>
      <c r="N52" s="34" t="str">
        <f aca="false">IF(OR(L52="",M52=""),"",IF(MATCH(L52,Lists!$A$2:$A$6,0)&lt;MATCH(M52,Lists!$A$2:$A$6,0),"Gap","On target"))</f>
        <v/>
      </c>
      <c r="O52" s="42"/>
      <c r="P52" s="42"/>
      <c r="Q52" s="42"/>
      <c r="R52" s="44"/>
    </row>
    <row r="53" customFormat="false" ht="15" hidden="false" customHeight="false" outlineLevel="0" collapsed="false">
      <c r="A53" s="39"/>
      <c r="B53" s="39"/>
      <c r="C53" s="39"/>
      <c r="D53" s="39"/>
      <c r="E53" s="39"/>
      <c r="F53" s="39"/>
      <c r="G53" s="39"/>
      <c r="H53" s="40"/>
      <c r="I53" s="40"/>
      <c r="J53" s="34" t="str">
        <f aca="false">IF(OR(H53="",I53=""),"",IF(H53&gt;=3,IF(I53&gt;=3,"Manage closely","Keep satisfied"),IF(I53&gt;=3,"Keep informed","Monitor")))</f>
        <v/>
      </c>
      <c r="K53" s="39"/>
      <c r="L53" s="39"/>
      <c r="M53" s="39"/>
      <c r="N53" s="34" t="str">
        <f aca="false">IF(OR(L53="",M53=""),"",IF(MATCH(L53,Lists!$A$2:$A$6,0)&lt;MATCH(M53,Lists!$A$2:$A$6,0),"Gap","On target"))</f>
        <v/>
      </c>
      <c r="O53" s="39"/>
      <c r="P53" s="39"/>
      <c r="Q53" s="39"/>
      <c r="R53" s="41"/>
    </row>
    <row r="54" customFormat="false" ht="15" hidden="false" customHeight="false" outlineLevel="0" collapsed="false">
      <c r="A54" s="42"/>
      <c r="B54" s="42"/>
      <c r="C54" s="42"/>
      <c r="D54" s="42"/>
      <c r="E54" s="42"/>
      <c r="F54" s="42"/>
      <c r="G54" s="42"/>
      <c r="H54" s="43"/>
      <c r="I54" s="43"/>
      <c r="J54" s="34" t="str">
        <f aca="false">IF(OR(H54="",I54=""),"",IF(H54&gt;=3,IF(I54&gt;=3,"Manage closely","Keep satisfied"),IF(I54&gt;=3,"Keep informed","Monitor")))</f>
        <v/>
      </c>
      <c r="K54" s="42"/>
      <c r="L54" s="42"/>
      <c r="M54" s="42"/>
      <c r="N54" s="34" t="str">
        <f aca="false">IF(OR(L54="",M54=""),"",IF(MATCH(L54,Lists!$A$2:$A$6,0)&lt;MATCH(M54,Lists!$A$2:$A$6,0),"Gap","On target"))</f>
        <v/>
      </c>
      <c r="O54" s="42"/>
      <c r="P54" s="42"/>
      <c r="Q54" s="42"/>
      <c r="R54" s="44"/>
    </row>
    <row r="55" customFormat="false" ht="15" hidden="false" customHeight="false" outlineLevel="0" collapsed="false">
      <c r="A55" s="39"/>
      <c r="B55" s="39"/>
      <c r="C55" s="39"/>
      <c r="D55" s="39"/>
      <c r="E55" s="39"/>
      <c r="F55" s="39"/>
      <c r="G55" s="39"/>
      <c r="H55" s="40"/>
      <c r="I55" s="40"/>
      <c r="J55" s="34" t="str">
        <f aca="false">IF(OR(H55="",I55=""),"",IF(H55&gt;=3,IF(I55&gt;=3,"Manage closely","Keep satisfied"),IF(I55&gt;=3,"Keep informed","Monitor")))</f>
        <v/>
      </c>
      <c r="K55" s="39"/>
      <c r="L55" s="39"/>
      <c r="M55" s="39"/>
      <c r="N55" s="34" t="str">
        <f aca="false">IF(OR(L55="",M55=""),"",IF(MATCH(L55,Lists!$A$2:$A$6,0)&lt;MATCH(M55,Lists!$A$2:$A$6,0),"Gap","On target"))</f>
        <v/>
      </c>
      <c r="O55" s="39"/>
      <c r="P55" s="39"/>
      <c r="Q55" s="39"/>
      <c r="R55" s="41"/>
    </row>
    <row r="56" customFormat="false" ht="15" hidden="false" customHeight="false" outlineLevel="0" collapsed="false">
      <c r="A56" s="42"/>
      <c r="B56" s="42"/>
      <c r="C56" s="42"/>
      <c r="D56" s="42"/>
      <c r="E56" s="42"/>
      <c r="F56" s="42"/>
      <c r="G56" s="42"/>
      <c r="H56" s="43"/>
      <c r="I56" s="43"/>
      <c r="J56" s="34" t="str">
        <f aca="false">IF(OR(H56="",I56=""),"",IF(H56&gt;=3,IF(I56&gt;=3,"Manage closely","Keep satisfied"),IF(I56&gt;=3,"Keep informed","Monitor")))</f>
        <v/>
      </c>
      <c r="K56" s="42"/>
      <c r="L56" s="42"/>
      <c r="M56" s="42"/>
      <c r="N56" s="34" t="str">
        <f aca="false">IF(OR(L56="",M56=""),"",IF(MATCH(L56,Lists!$A$2:$A$6,0)&lt;MATCH(M56,Lists!$A$2:$A$6,0),"Gap","On target"))</f>
        <v/>
      </c>
      <c r="O56" s="42"/>
      <c r="P56" s="42"/>
      <c r="Q56" s="42"/>
      <c r="R56" s="44"/>
    </row>
    <row r="57" customFormat="false" ht="15" hidden="false" customHeight="false" outlineLevel="0" collapsed="false">
      <c r="A57" s="39"/>
      <c r="B57" s="39"/>
      <c r="C57" s="39"/>
      <c r="D57" s="39"/>
      <c r="E57" s="39"/>
      <c r="F57" s="39"/>
      <c r="G57" s="39"/>
      <c r="H57" s="40"/>
      <c r="I57" s="40"/>
      <c r="J57" s="34" t="str">
        <f aca="false">IF(OR(H57="",I57=""),"",IF(H57&gt;=3,IF(I57&gt;=3,"Manage closely","Keep satisfied"),IF(I57&gt;=3,"Keep informed","Monitor")))</f>
        <v/>
      </c>
      <c r="K57" s="39"/>
      <c r="L57" s="39"/>
      <c r="M57" s="39"/>
      <c r="N57" s="34" t="str">
        <f aca="false">IF(OR(L57="",M57=""),"",IF(MATCH(L57,Lists!$A$2:$A$6,0)&lt;MATCH(M57,Lists!$A$2:$A$6,0),"Gap","On target"))</f>
        <v/>
      </c>
      <c r="O57" s="39"/>
      <c r="P57" s="39"/>
      <c r="Q57" s="39"/>
      <c r="R57" s="41"/>
    </row>
    <row r="58" customFormat="false" ht="15" hidden="false" customHeight="false" outlineLevel="0" collapsed="false">
      <c r="A58" s="42"/>
      <c r="B58" s="42"/>
      <c r="C58" s="42"/>
      <c r="D58" s="42"/>
      <c r="E58" s="42"/>
      <c r="F58" s="42"/>
      <c r="G58" s="42"/>
      <c r="H58" s="43"/>
      <c r="I58" s="43"/>
      <c r="J58" s="34" t="str">
        <f aca="false">IF(OR(H58="",I58=""),"",IF(H58&gt;=3,IF(I58&gt;=3,"Manage closely","Keep satisfied"),IF(I58&gt;=3,"Keep informed","Monitor")))</f>
        <v/>
      </c>
      <c r="K58" s="42"/>
      <c r="L58" s="42"/>
      <c r="M58" s="42"/>
      <c r="N58" s="34" t="str">
        <f aca="false">IF(OR(L58="",M58=""),"",IF(MATCH(L58,Lists!$A$2:$A$6,0)&lt;MATCH(M58,Lists!$A$2:$A$6,0),"Gap","On target"))</f>
        <v/>
      </c>
      <c r="O58" s="42"/>
      <c r="P58" s="42"/>
      <c r="Q58" s="42"/>
      <c r="R58" s="44"/>
    </row>
    <row r="59" customFormat="false" ht="15" hidden="false" customHeight="false" outlineLevel="0" collapsed="false">
      <c r="A59" s="39"/>
      <c r="B59" s="39"/>
      <c r="C59" s="39"/>
      <c r="D59" s="39"/>
      <c r="E59" s="39"/>
      <c r="F59" s="39"/>
      <c r="G59" s="39"/>
      <c r="H59" s="40"/>
      <c r="I59" s="40"/>
      <c r="J59" s="34" t="str">
        <f aca="false">IF(OR(H59="",I59=""),"",IF(H59&gt;=3,IF(I59&gt;=3,"Manage closely","Keep satisfied"),IF(I59&gt;=3,"Keep informed","Monitor")))</f>
        <v/>
      </c>
      <c r="K59" s="39"/>
      <c r="L59" s="39"/>
      <c r="M59" s="39"/>
      <c r="N59" s="34" t="str">
        <f aca="false">IF(OR(L59="",M59=""),"",IF(MATCH(L59,Lists!$A$2:$A$6,0)&lt;MATCH(M59,Lists!$A$2:$A$6,0),"Gap","On target"))</f>
        <v/>
      </c>
      <c r="O59" s="39"/>
      <c r="P59" s="39"/>
      <c r="Q59" s="39"/>
      <c r="R59" s="41"/>
    </row>
    <row r="60" customFormat="false" ht="15" hidden="false" customHeight="false" outlineLevel="0" collapsed="false">
      <c r="A60" s="42"/>
      <c r="B60" s="42"/>
      <c r="C60" s="42"/>
      <c r="D60" s="42"/>
      <c r="E60" s="42"/>
      <c r="F60" s="42"/>
      <c r="G60" s="42"/>
      <c r="H60" s="43"/>
      <c r="I60" s="43"/>
      <c r="J60" s="34" t="str">
        <f aca="false">IF(OR(H60="",I60=""),"",IF(H60&gt;=3,IF(I60&gt;=3,"Manage closely","Keep satisfied"),IF(I60&gt;=3,"Keep informed","Monitor")))</f>
        <v/>
      </c>
      <c r="K60" s="42"/>
      <c r="L60" s="42"/>
      <c r="M60" s="42"/>
      <c r="N60" s="34" t="str">
        <f aca="false">IF(OR(L60="",M60=""),"",IF(MATCH(L60,Lists!$A$2:$A$6,0)&lt;MATCH(M60,Lists!$A$2:$A$6,0),"Gap","On target"))</f>
        <v/>
      </c>
      <c r="O60" s="42"/>
      <c r="P60" s="42"/>
      <c r="Q60" s="42"/>
      <c r="R60" s="44"/>
    </row>
    <row r="61" customFormat="false" ht="15" hidden="false" customHeight="false" outlineLevel="0" collapsed="false">
      <c r="A61" s="39"/>
      <c r="B61" s="39"/>
      <c r="C61" s="39"/>
      <c r="D61" s="39"/>
      <c r="E61" s="39"/>
      <c r="F61" s="39"/>
      <c r="G61" s="39"/>
      <c r="H61" s="40"/>
      <c r="I61" s="40"/>
      <c r="J61" s="34" t="str">
        <f aca="false">IF(OR(H61="",I61=""),"",IF(H61&gt;=3,IF(I61&gt;=3,"Manage closely","Keep satisfied"),IF(I61&gt;=3,"Keep informed","Monitor")))</f>
        <v/>
      </c>
      <c r="K61" s="39"/>
      <c r="L61" s="39"/>
      <c r="M61" s="39"/>
      <c r="N61" s="34" t="str">
        <f aca="false">IF(OR(L61="",M61=""),"",IF(MATCH(L61,Lists!$A$2:$A$6,0)&lt;MATCH(M61,Lists!$A$2:$A$6,0),"Gap","On target"))</f>
        <v/>
      </c>
      <c r="O61" s="39"/>
      <c r="P61" s="39"/>
      <c r="Q61" s="39"/>
      <c r="R61" s="41"/>
    </row>
    <row r="62" customFormat="false" ht="15" hidden="false" customHeight="false" outlineLevel="0" collapsed="false">
      <c r="A62" s="42"/>
      <c r="B62" s="42"/>
      <c r="C62" s="42"/>
      <c r="D62" s="42"/>
      <c r="E62" s="42"/>
      <c r="F62" s="42"/>
      <c r="G62" s="42"/>
      <c r="H62" s="43"/>
      <c r="I62" s="43"/>
      <c r="J62" s="34" t="str">
        <f aca="false">IF(OR(H62="",I62=""),"",IF(H62&gt;=3,IF(I62&gt;=3,"Manage closely","Keep satisfied"),IF(I62&gt;=3,"Keep informed","Monitor")))</f>
        <v/>
      </c>
      <c r="K62" s="42"/>
      <c r="L62" s="42"/>
      <c r="M62" s="42"/>
      <c r="N62" s="34" t="str">
        <f aca="false">IF(OR(L62="",M62=""),"",IF(MATCH(L62,Lists!$A$2:$A$6,0)&lt;MATCH(M62,Lists!$A$2:$A$6,0),"Gap","On target"))</f>
        <v/>
      </c>
      <c r="O62" s="42"/>
      <c r="P62" s="42"/>
      <c r="Q62" s="42"/>
      <c r="R62" s="44"/>
    </row>
    <row r="63" customFormat="false" ht="15" hidden="false" customHeight="false" outlineLevel="0" collapsed="false">
      <c r="A63" s="39"/>
      <c r="B63" s="39"/>
      <c r="C63" s="39"/>
      <c r="D63" s="39"/>
      <c r="E63" s="39"/>
      <c r="F63" s="39"/>
      <c r="G63" s="39"/>
      <c r="H63" s="40"/>
      <c r="I63" s="40"/>
      <c r="J63" s="34" t="str">
        <f aca="false">IF(OR(H63="",I63=""),"",IF(H63&gt;=3,IF(I63&gt;=3,"Manage closely","Keep satisfied"),IF(I63&gt;=3,"Keep informed","Monitor")))</f>
        <v/>
      </c>
      <c r="K63" s="39"/>
      <c r="L63" s="39"/>
      <c r="M63" s="39"/>
      <c r="N63" s="34" t="str">
        <f aca="false">IF(OR(L63="",M63=""),"",IF(MATCH(L63,Lists!$A$2:$A$6,0)&lt;MATCH(M63,Lists!$A$2:$A$6,0),"Gap","On target"))</f>
        <v/>
      </c>
      <c r="O63" s="39"/>
      <c r="P63" s="39"/>
      <c r="Q63" s="39"/>
      <c r="R63" s="41"/>
    </row>
    <row r="64" customFormat="false" ht="15" hidden="false" customHeight="false" outlineLevel="0" collapsed="false">
      <c r="A64" s="42"/>
      <c r="B64" s="42"/>
      <c r="C64" s="42"/>
      <c r="D64" s="42"/>
      <c r="E64" s="42"/>
      <c r="F64" s="42"/>
      <c r="G64" s="42"/>
      <c r="H64" s="43"/>
      <c r="I64" s="43"/>
      <c r="J64" s="34" t="str">
        <f aca="false">IF(OR(H64="",I64=""),"",IF(H64&gt;=3,IF(I64&gt;=3,"Manage closely","Keep satisfied"),IF(I64&gt;=3,"Keep informed","Monitor")))</f>
        <v/>
      </c>
      <c r="K64" s="42"/>
      <c r="L64" s="42"/>
      <c r="M64" s="42"/>
      <c r="N64" s="34" t="str">
        <f aca="false">IF(OR(L64="",M64=""),"",IF(MATCH(L64,Lists!$A$2:$A$6,0)&lt;MATCH(M64,Lists!$A$2:$A$6,0),"Gap","On target"))</f>
        <v/>
      </c>
      <c r="O64" s="42"/>
      <c r="P64" s="42"/>
      <c r="Q64" s="42"/>
      <c r="R64" s="44"/>
    </row>
  </sheetData>
  <autoFilter ref="A4:R64"/>
  <mergeCells count="2">
    <mergeCell ref="A1:R1"/>
    <mergeCell ref="A2:R2"/>
  </mergeCells>
  <conditionalFormatting sqref="N5:N64">
    <cfRule type="cellIs" priority="2" operator="equal" aboveAverage="0" equalAverage="0" bottom="0" percent="0" rank="0" text="" dxfId="13">
      <formula>"Gap"</formula>
    </cfRule>
    <cfRule type="cellIs" priority="3" operator="equal" aboveAverage="0" equalAverage="0" bottom="0" percent="0" rank="0" text="" dxfId="14">
      <formula>"On target"</formula>
    </cfRule>
  </conditionalFormatting>
  <conditionalFormatting sqref="J5:J64">
    <cfRule type="cellIs" priority="4" operator="equal" aboveAverage="0" equalAverage="0" bottom="0" percent="0" rank="0" text="" dxfId="15">
      <formula>"Manage closely"</formula>
    </cfRule>
    <cfRule type="cellIs" priority="5" operator="equal" aboveAverage="0" equalAverage="0" bottom="0" percent="0" rank="0" text="" dxfId="13">
      <formula>"Keep satisfied"</formula>
    </cfRule>
    <cfRule type="cellIs" priority="6" operator="equal" aboveAverage="0" equalAverage="0" bottom="0" percent="0" rank="0" text="" dxfId="16">
      <formula>"Keep informed"</formula>
    </cfRule>
    <cfRule type="cellIs" priority="7" operator="equal" aboveAverage="0" equalAverage="0" bottom="0" percent="0" rank="0" text="" dxfId="17">
      <formula>"Monitor"</formula>
    </cfRule>
  </conditionalFormatting>
  <dataValidations count="7">
    <dataValidation allowBlank="true" error="Please select a value from the list (toolkit controlled vocabulary)." errorStyle="stop" errorTitle="Invalid entry" operator="between" showDropDown="false" showErrorMessage="true" showInputMessage="false" sqref="E5:E64" type="list">
      <formula1>Lists!$B$2:$B$3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H5:H6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I5:I64" type="list">
      <formula1>Lists!$C$2:$C$6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K5:K64" type="list">
      <formula1>Lists!$D$2:$D$6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L5:L6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M5:M6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Q5:Q64" type="list">
      <formula1>Lists!$E$2:$E$7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8" t="s">
        <v>112</v>
      </c>
      <c r="B1" s="28" t="s">
        <v>113</v>
      </c>
      <c r="C1" s="28" t="s">
        <v>114</v>
      </c>
      <c r="D1" s="28" t="s">
        <v>86</v>
      </c>
      <c r="E1" s="28" t="s">
        <v>115</v>
      </c>
    </row>
    <row r="2" customFormat="false" ht="15" hidden="false" customHeight="false" outlineLevel="0" collapsed="false">
      <c r="A2" s="0" t="s">
        <v>108</v>
      </c>
      <c r="B2" s="0" t="s">
        <v>33</v>
      </c>
      <c r="C2" s="0" t="n">
        <v>1</v>
      </c>
      <c r="D2" s="0" t="s">
        <v>97</v>
      </c>
      <c r="E2" s="0" t="s">
        <v>116</v>
      </c>
    </row>
    <row r="3" customFormat="false" ht="15" hidden="false" customHeight="false" outlineLevel="0" collapsed="false">
      <c r="A3" s="0" t="s">
        <v>117</v>
      </c>
      <c r="B3" s="0" t="s">
        <v>118</v>
      </c>
      <c r="C3" s="0" t="n">
        <v>2</v>
      </c>
      <c r="D3" s="0" t="s">
        <v>119</v>
      </c>
      <c r="E3" s="0" t="s">
        <v>120</v>
      </c>
    </row>
    <row r="4" customFormat="false" ht="15" hidden="false" customHeight="false" outlineLevel="0" collapsed="false">
      <c r="A4" s="0" t="s">
        <v>107</v>
      </c>
      <c r="C4" s="0" t="n">
        <v>3</v>
      </c>
      <c r="D4" s="0" t="s">
        <v>107</v>
      </c>
      <c r="E4" s="0" t="s">
        <v>101</v>
      </c>
    </row>
    <row r="5" customFormat="false" ht="15" hidden="false" customHeight="false" outlineLevel="0" collapsed="false">
      <c r="A5" s="0" t="s">
        <v>98</v>
      </c>
      <c r="C5" s="0" t="n">
        <v>4</v>
      </c>
      <c r="D5" s="0" t="s">
        <v>121</v>
      </c>
      <c r="E5" s="0" t="s">
        <v>111</v>
      </c>
    </row>
    <row r="6" customFormat="false" ht="15" hidden="false" customHeight="false" outlineLevel="0" collapsed="false">
      <c r="A6" s="0" t="s">
        <v>99</v>
      </c>
      <c r="C6" s="0" t="n">
        <v>5</v>
      </c>
      <c r="D6" s="0" t="s">
        <v>122</v>
      </c>
      <c r="E6" s="0" t="s">
        <v>123</v>
      </c>
    </row>
    <row r="7" customFormat="false" ht="15" hidden="false" customHeight="false" outlineLevel="0" collapsed="false">
      <c r="E7" s="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2026-10-28T04:09:00Z</dcterms:created>
  <dc:creator>[Project Manager]</dc:creator>
  <dc:description/>
  <cp:keywords>PRJ-2026-001-SHR PMBOK 8</cp:keywords>
  <dc:language>en-US</dc:language>
  <cp:lastModifiedBy/>
  <dcterms:modified xsi:type="dcterms:W3CDTF">2026-10-28T04:09:00Z</dcterms:modified>
  <cp:revision>0</cp:revision>
  <dc:subject>[Project Name]</dc:subject>
  <dc:title>10 - Stakeholder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