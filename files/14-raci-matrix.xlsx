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Legend" sheetId="2" state="visible" r:id="rId4"/>
    <sheet name="RACI" sheetId="3" state="visible" r:id="rId5"/>
    <sheet name="Lists" sheetId="4" state="hidden" r:id="rId6"/>
  </sheets>
  <definedNames>
    <definedName function="false" hidden="false" localSheetId="2" name="_xlnm.Print_Titles" vbProcedure="false">RACI!$4:$4</definedName>
    <definedName function="false" hidden="true" localSheetId="2" name="_xlnm._FilterDatabase" vbProcedure="false">RACI!$A$4:$Q$44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<sst xmlns="http://schemas.openxmlformats.org/spreadsheetml/2006/main" count="286" uniqueCount="129">
  <si>
    <t xml:space="preserve">[ORGANIZATION NAME]</t>
  </si>
  <si>
    <t xml:space="preserve">14 — RACI Matrix</t>
  </si>
  <si>
    <t xml:space="preserve">[Project Name]</t>
  </si>
  <si>
    <t xml:space="preserve">DOCUMENT CONTROL</t>
  </si>
  <si>
    <t xml:space="preserve">PMBOK® 8 ALIGNMENT</t>
  </si>
  <si>
    <t xml:space="preserve">Project name</t>
  </si>
  <si>
    <t xml:space="preserve">Performance domain(s)</t>
  </si>
  <si>
    <t xml:space="preserve">Resources, Governance</t>
  </si>
  <si>
    <t xml:space="preserve">Project ID</t>
  </si>
  <si>
    <t xml:space="preserve">PRJ-2026-001</t>
  </si>
  <si>
    <t xml:space="preserve">Focus area(s)</t>
  </si>
  <si>
    <t xml:space="preserve">Planning</t>
  </si>
  <si>
    <t xml:space="preserve">Document ID</t>
  </si>
  <si>
    <t xml:space="preserve">PRJ-2026-001-RACI</t>
  </si>
  <si>
    <t xml:space="preserve">Toolkit</t>
  </si>
  <si>
    <t xml:space="preserve">PMI Predictive Project Management Toolkit</t>
  </si>
  <si>
    <t xml:space="preserve">Document title</t>
  </si>
  <si>
    <t xml:space="preserve">RACI Matrix</t>
  </si>
  <si>
    <t xml:space="preserve">Standard</t>
  </si>
  <si>
    <t xml:space="preserve">Aligned to the PMBOK® Guide – Eighth Edition</t>
  </si>
  <si>
    <t xml:space="preserve">Version</t>
  </si>
  <si>
    <t xml:space="preserve">0.1</t>
  </si>
  <si>
    <t xml:space="preserve">Status</t>
  </si>
  <si>
    <t xml:space="preserve">Draft</t>
  </si>
  <si>
    <t xml:space="preserve">Date</t>
  </si>
  <si>
    <t xml:space="preserve">2026-10-27</t>
  </si>
  <si>
    <t xml:space="preserve">Project Sponsor</t>
  </si>
  <si>
    <t xml:space="preserve">[Project Sponsor]</t>
  </si>
  <si>
    <t xml:space="preserve">Project Manager / Owner</t>
  </si>
  <si>
    <t xml:space="preserve">[Project Manager]</t>
  </si>
  <si>
    <t xml:space="preserve">Approver</t>
  </si>
  <si>
    <t xml:space="preserve">Project Manager</t>
  </si>
  <si>
    <t xml:space="preserve">Classification</t>
  </si>
  <si>
    <t xml:space="preserve">Internal</t>
  </si>
  <si>
    <t xml:space="preserve">Currency</t>
  </si>
  <si>
    <t xml:space="preserve">CAD</t>
  </si>
  <si>
    <t xml:space="preserve">File location</t>
  </si>
  <si>
    <t xml:space="preserve">[SharePoint / repository path]</t>
  </si>
  <si>
    <t xml:space="preserve">REVISION HISTORY</t>
  </si>
  <si>
    <t xml:space="preserve">Author</t>
  </si>
  <si>
    <t xml:space="preserve">Description of change</t>
  </si>
  <si>
    <t xml:space="preserve">CR ref.</t>
  </si>
  <si>
    <t xml:space="preserve">Approved by</t>
  </si>
  <si>
    <t xml:space="preserve">Initial draft created from toolkit template</t>
  </si>
  <si>
    <t xml:space="preserve">N/A</t>
  </si>
  <si>
    <t xml:space="preserve">VERSIONING SCHEME</t>
  </si>
  <si>
    <t xml:space="preserve">0.1 - 0.9</t>
  </si>
  <si>
    <t xml:space="preserve">Work in progress. Increment the minor digit for each review cycle (0.1, 0.2 ...).</t>
  </si>
  <si>
    <t xml:space="preserve">1.0</t>
  </si>
  <si>
    <t xml:space="preserve">Approved / Baselined</t>
  </si>
  <si>
    <t xml:space="preserve">First version formally approved by the designated approver. Becomes the baseline.</t>
  </si>
  <si>
    <t xml:space="preserve">1.1, 1.2 ...</t>
  </si>
  <si>
    <t xml:space="preserve">Minor revision</t>
  </si>
  <si>
    <t xml:space="preserve">Editorial or clarifying change with NO impact on scope, schedule or cost baselines. PM approval.</t>
  </si>
  <si>
    <t xml:space="preserve">2.0, 3.0 ...</t>
  </si>
  <si>
    <t xml:space="preserve">Major revision</t>
  </si>
  <si>
    <t xml:space="preserve">Change that alters a baseline. Requires an approved Change Request (doc 20) logged in the Change Log (doc 21).</t>
  </si>
  <si>
    <t xml:space="preserve">HOW TO USE THIS WORKBOOK</t>
  </si>
  <si>
    <t xml:space="preserve">1. Rows = deliverables/activities (aligned with WBS), columns = roles. Rename role columns to match your project organization.</t>
  </si>
  <si>
    <t xml:space="preserve">2. Use R (Responsible), A (Accountable), C (Consulted), I (Informed). Exactly one A per row and at least one R; the Check column validates this.</t>
  </si>
  <si>
    <t xml:space="preserve">3. Combined 'A/R' is allowed when the accountable person also does the work.</t>
  </si>
  <si>
    <t xml:space="preserve">4. Navy column headers = input columns (shaded rows are for data entry). Teal headers marked ƒ = calculated columns — do not overwrite.</t>
  </si>
  <si>
    <t xml:space="preserve">5. Drop-down lists enforce the toolkit's controlled vocabulary. Rows shown in grey italics are examples — overwrite or delete them.</t>
  </si>
  <si>
    <t xml:space="preserve">6. Update the Version/Status/Date above and add a Revision History row each time the workbook is re-issued.</t>
  </si>
  <si>
    <t xml:space="preserve">14 — RACI Matrix  |  RACI Legend</t>
  </si>
  <si>
    <t xml:space="preserve">[Project Name]   •   PRJ-2026-001-RACI   •   v0.1 Draft   •   Internal</t>
  </si>
  <si>
    <t xml:space="preserve">R</t>
  </si>
  <si>
    <t xml:space="preserve">Responsible</t>
  </si>
  <si>
    <t xml:space="preserve">Does the work to complete the task. At least one per row.</t>
  </si>
  <si>
    <t xml:space="preserve">A</t>
  </si>
  <si>
    <t xml:space="preserve">Accountable</t>
  </si>
  <si>
    <t xml:space="preserve">Ultimately answerable; approves/signs off. Exactly one per row.</t>
  </si>
  <si>
    <t xml:space="preserve">C</t>
  </si>
  <si>
    <t xml:space="preserve">Consulted</t>
  </si>
  <si>
    <t xml:space="preserve">Provides input before the work/decision (two-way).</t>
  </si>
  <si>
    <t xml:space="preserve">I</t>
  </si>
  <si>
    <t xml:space="preserve">Informed</t>
  </si>
  <si>
    <t xml:space="preserve">Kept up to date on progress or decisions (one-way).</t>
  </si>
  <si>
    <t xml:space="preserve">A/R</t>
  </si>
  <si>
    <t xml:space="preserve">Accountable &amp; Responsible</t>
  </si>
  <si>
    <t xml:space="preserve">Same person owns and performs the work.</t>
  </si>
  <si>
    <t xml:space="preserve">14 — RACI Matrix  |  RACI</t>
  </si>
  <si>
    <t xml:space="preserve">WBS / ref.</t>
  </si>
  <si>
    <t xml:space="preserve">Deliverable / activity</t>
  </si>
  <si>
    <t xml:space="preserve">Sponsor</t>
  </si>
  <si>
    <t xml:space="preserve">Steering Committee</t>
  </si>
  <si>
    <t xml:space="preserve">Business Owner</t>
  </si>
  <si>
    <t xml:space="preserve">Business Analyst</t>
  </si>
  <si>
    <t xml:space="preserve">Technical Lead</t>
  </si>
  <si>
    <t xml:space="preserve">Delivery Team</t>
  </si>
  <si>
    <t xml:space="preserve">QA Lead</t>
  </si>
  <si>
    <t xml:space="preserve">Procurement</t>
  </si>
  <si>
    <t xml:space="preserve">PMO</t>
  </si>
  <si>
    <t xml:space="preserve">Finance</t>
  </si>
  <si>
    <t xml:space="preserve">End Users</t>
  </si>
  <si>
    <t xml:space="preserve">ƒ # A</t>
  </si>
  <si>
    <t xml:space="preserve">ƒ # R</t>
  </si>
  <si>
    <t xml:space="preserve">ƒ Check</t>
  </si>
  <si>
    <t xml:space="preserve">1.1.1</t>
  </si>
  <si>
    <t xml:space="preserve">Project Charter</t>
  </si>
  <si>
    <t xml:space="preserve">Stakeholder Register</t>
  </si>
  <si>
    <t xml:space="preserve">1.1.2</t>
  </si>
  <si>
    <t xml:space="preserve">Integrated Project Management Plan</t>
  </si>
  <si>
    <t xml:space="preserve">Scope baseline (scope statement, WBS)</t>
  </si>
  <si>
    <t xml:space="preserve">Schedule baseline</t>
  </si>
  <si>
    <t xml:space="preserve">Cost baseline &amp; budget</t>
  </si>
  <si>
    <t xml:space="preserve">Risk Management Plan &amp; Register</t>
  </si>
  <si>
    <t xml:space="preserve">1.2.2</t>
  </si>
  <si>
    <t xml:space="preserve">Requirements specification &amp; RTM</t>
  </si>
  <si>
    <t xml:space="preserve">1.3</t>
  </si>
  <si>
    <t xml:space="preserve">Solution design</t>
  </si>
  <si>
    <t xml:space="preserve">1.4</t>
  </si>
  <si>
    <t xml:space="preserve">Procurement &amp; contract award</t>
  </si>
  <si>
    <t xml:space="preserve">Build deliverables</t>
  </si>
  <si>
    <t xml:space="preserve">1.5</t>
  </si>
  <si>
    <t xml:space="preserve">Testing &amp; quality control</t>
  </si>
  <si>
    <t xml:space="preserve">1.5.2</t>
  </si>
  <si>
    <t xml:space="preserve">User acceptance &amp; deliverable sign-off</t>
  </si>
  <si>
    <t xml:space="preserve">1.1.3</t>
  </si>
  <si>
    <t xml:space="preserve">Change requests (CCB decisions)</t>
  </si>
  <si>
    <t xml:space="preserve">Project Status Report</t>
  </si>
  <si>
    <t xml:space="preserve">1.6</t>
  </si>
  <si>
    <t xml:space="preserve">Training &amp; change management</t>
  </si>
  <si>
    <t xml:space="preserve">1.6.3</t>
  </si>
  <si>
    <t xml:space="preserve">Operational handover</t>
  </si>
  <si>
    <t xml:space="preserve">1.1.4</t>
  </si>
  <si>
    <t xml:space="preserve">Lessons learned</t>
  </si>
  <si>
    <t xml:space="preserve">Project Closure Report</t>
  </si>
  <si>
    <t xml:space="preserve">RACI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</si>
</sst>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9FD3D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13807E"/>
      <name val="Calibri"/>
      <family val="0"/>
      <charset val="1"/>
    </font>
    <font>
      <b val="true"/>
      <sz val="10"/>
      <color rgb="FF1F3A5F"/>
      <name val="Calibri"/>
      <family val="0"/>
      <charset val="1"/>
    </font>
    <font>
      <sz val="10"/>
      <color rgb="FF6B7785"/>
      <name val="Calibri"/>
      <family val="0"/>
      <charset val="1"/>
    </font>
    <font>
      <sz val="9"/>
      <color rgb="FF1E2A36"/>
      <name val="Calibri"/>
      <family val="0"/>
      <charset val="1"/>
    </font>
    <font>
      <sz val="10"/>
      <color rgb="FF1E2A3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E2A36"/>
      <name val="Calibri"/>
      <family val="0"/>
      <charset val="1"/>
    </font>
    <font>
      <sz val="9"/>
      <color rgb="FF6B7785"/>
      <name val="Calibri"/>
      <family val="0"/>
      <charset val="1"/>
    </font>
    <font>
      <sz val="9.5"/>
      <color rgb="FF1E2A36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DCE8F2"/>
      <name val="Calibri"/>
      <family val="0"/>
      <charset val="1"/>
    </font>
    <font>
      <b val="true"/>
      <sz val="10"/>
      <color rgb="FF1E2A36"/>
      <name val="Calibri"/>
      <family val="0"/>
      <charset val="1"/>
    </font>
    <font>
      <b val="true"/>
      <sz val="10"/>
      <color rgb="FF8A6200"/>
      <name val="Calibri"/>
      <family val="0"/>
      <charset val="1"/>
    </font>
    <font>
      <b val="true"/>
      <sz val="9.5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1E2A36"/>
      </patternFill>
    </fill>
    <fill>
      <patternFill patternType="solid">
        <fgColor rgb="FFDCE8F2"/>
        <bgColor rgb="FFD5EFDF"/>
      </patternFill>
    </fill>
    <fill>
      <patternFill patternType="solid">
        <fgColor rgb="FFF3F6F9"/>
        <bgColor rgb="FFEAF2F2"/>
      </patternFill>
    </fill>
    <fill>
      <patternFill patternType="solid">
        <fgColor rgb="FF13807E"/>
        <bgColor rgb="FF008080"/>
      </patternFill>
    </fill>
    <fill>
      <patternFill patternType="solid">
        <fgColor rgb="FFFCEFC7"/>
        <bgColor rgb="FFEAF2F2"/>
      </patternFill>
    </fill>
    <fill>
      <patternFill patternType="solid">
        <fgColor rgb="FFEAF2F2"/>
        <bgColor rgb="FFF3F6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A3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8F2"/>
          <bgColor rgb="FF000000"/>
        </patternFill>
      </fill>
    </dxf>
    <dxf>
      <fill>
        <patternFill patternType="solid">
          <fgColor rgb="FFFCEFC7"/>
          <bgColor rgb="FF000000"/>
        </patternFill>
      </fill>
    </dxf>
    <dxf>
      <fill>
        <patternFill patternType="solid">
          <fgColor rgb="FF8A6200"/>
          <bgColor rgb="FF000000"/>
        </patternFill>
      </fill>
    </dxf>
    <dxf>
      <fill>
        <patternFill patternType="solid">
          <fgColor rgb="FF13807E"/>
          <bgColor rgb="FF000000"/>
        </patternFill>
      </fill>
    </dxf>
    <dxf>
      <fill>
        <patternFill patternType="solid">
          <fgColor rgb="FFEAF2F2"/>
          <bgColor rgb="FF000000"/>
        </patternFill>
      </fill>
    </dxf>
    <dxf>
      <fill>
        <patternFill patternType="solid">
          <fgColor rgb="FFD5EFDF"/>
          <bgColor rgb="FF000000"/>
        </patternFill>
      </fill>
    </dxf>
    <dxf>
      <fill>
        <patternFill patternType="solid">
          <fgColor rgb="FF2E8B57"/>
          <bgColor rgb="FF000000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1F3A5F"/>
        </patternFill>
      </fill>
    </dxf>
    <dxf>
      <font>
        <name val="Calibri"/>
        <charset val="1"/>
        <family val="0"/>
        <b val="1"/>
        <color rgb="FFFFFFFF"/>
      </font>
      <fill>
        <patternFill>
          <bgColor rgb="FF13807E"/>
        </patternFill>
      </fill>
    </dxf>
    <dxf>
      <font>
        <name val="Calibri"/>
        <charset val="1"/>
        <family val="0"/>
        <b val="1"/>
        <color rgb="FF8A6200"/>
      </font>
      <fill>
        <patternFill>
          <bgColor rgb="FFFCEFC7"/>
        </patternFill>
      </fill>
    </dxf>
    <dxf>
      <font>
        <name val="Calibri"/>
        <charset val="1"/>
        <family val="0"/>
        <b val="1"/>
        <color rgb="FF1F3A5F"/>
      </font>
      <fill>
        <patternFill>
          <bgColor rgb="FFDCE8F2"/>
        </patternFill>
      </fill>
    </dxf>
    <dxf>
      <font>
        <name val="Calibri"/>
        <charset val="1"/>
        <family val="0"/>
        <b val="1"/>
        <color rgb="FF2E8B57"/>
      </font>
      <fill>
        <patternFill>
          <bgColor rgb="FFD5EFDF"/>
        </patternFill>
      </fill>
    </dxf>
    <dxf>
      <font>
        <name val="Calibri"/>
        <charset val="1"/>
        <family val="0"/>
        <b val="1"/>
        <color rgb="FFC0392B"/>
      </font>
      <fill>
        <patternFill>
          <bgColor rgb="FFF6D5D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200"/>
      <rgbColor rgb="FF800080"/>
      <rgbColor rgb="FF13807E"/>
      <rgbColor rgb="FFB8C4D0"/>
      <rgbColor rgb="FF6B7785"/>
      <rgbColor rgb="FF9999FF"/>
      <rgbColor rgb="FF993366"/>
      <rgbColor rgb="FFFCEFC7"/>
      <rgbColor rgb="FFEA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2"/>
      <rgbColor rgb="FFD5EFDF"/>
      <rgbColor rgb="FFF3F6F9"/>
      <rgbColor rgb="FF9FD3D1"/>
      <rgbColor rgb="FFFF99CC"/>
      <rgbColor rgb="FFCC99FF"/>
      <rgbColor rgb="FFF6D5D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2E8B57"/>
      <rgbColor rgb="FF003300"/>
      <rgbColor rgb="FF333300"/>
      <rgbColor rgb="FFC0392B"/>
      <rgbColor rgb="FF993366"/>
      <rgbColor rgb="FF333399"/>
      <rgbColor rgb="FF1E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2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4"/>
  </cols>
  <sheetData>
    <row r="2" customFormat="false" ht="18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31.5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  <c r="G4" s="3"/>
    </row>
    <row r="6" customFormat="false" ht="15" hidden="false" customHeight="false" outlineLevel="0" collapsed="false">
      <c r="B6" s="4" t="s">
        <v>3</v>
      </c>
      <c r="E6" s="4" t="s">
        <v>4</v>
      </c>
    </row>
    <row r="7" customFormat="false" ht="27.75" hidden="false" customHeight="true" outlineLevel="0" collapsed="false">
      <c r="B7" s="5" t="s">
        <v>5</v>
      </c>
      <c r="C7" s="6" t="s">
        <v>2</v>
      </c>
      <c r="D7" s="6"/>
      <c r="E7" s="5" t="s">
        <v>6</v>
      </c>
      <c r="F7" s="7" t="s">
        <v>7</v>
      </c>
      <c r="G7" s="7"/>
    </row>
    <row r="8" customFormat="false" ht="27.75" hidden="false" customHeight="true" outlineLevel="0" collapsed="false">
      <c r="B8" s="5" t="s">
        <v>8</v>
      </c>
      <c r="C8" s="8" t="s">
        <v>9</v>
      </c>
      <c r="D8" s="8"/>
      <c r="E8" s="5" t="s">
        <v>10</v>
      </c>
      <c r="F8" s="7" t="s">
        <v>11</v>
      </c>
      <c r="G8" s="7"/>
    </row>
    <row r="9" customFormat="false" ht="27.75" hidden="false" customHeight="true" outlineLevel="0" collapsed="false">
      <c r="B9" s="5" t="s">
        <v>12</v>
      </c>
      <c r="C9" s="8" t="s">
        <v>13</v>
      </c>
      <c r="D9" s="8"/>
      <c r="E9" s="5" t="s">
        <v>14</v>
      </c>
      <c r="F9" s="7" t="s">
        <v>15</v>
      </c>
      <c r="G9" s="7"/>
    </row>
    <row r="10" customFormat="false" ht="27.75" hidden="false" customHeight="true" outlineLevel="0" collapsed="false">
      <c r="B10" s="5" t="s">
        <v>16</v>
      </c>
      <c r="C10" s="8" t="s">
        <v>17</v>
      </c>
      <c r="D10" s="8"/>
      <c r="E10" s="5" t="s">
        <v>18</v>
      </c>
      <c r="F10" s="7" t="s">
        <v>19</v>
      </c>
      <c r="G10" s="7"/>
    </row>
    <row r="11" customFormat="false" ht="15" hidden="false" customHeight="false" outlineLevel="0" collapsed="false">
      <c r="B11" s="5" t="s">
        <v>20</v>
      </c>
      <c r="C11" s="8" t="s">
        <v>21</v>
      </c>
      <c r="D11" s="8"/>
    </row>
    <row r="12" customFormat="false" ht="15" hidden="false" customHeight="false" outlineLevel="0" collapsed="false">
      <c r="B12" s="5" t="s">
        <v>22</v>
      </c>
      <c r="C12" s="8" t="s">
        <v>23</v>
      </c>
      <c r="D12" s="8"/>
    </row>
    <row r="13" customFormat="false" ht="15" hidden="false" customHeight="false" outlineLevel="0" collapsed="false">
      <c r="B13" s="5" t="s">
        <v>24</v>
      </c>
      <c r="C13" s="8" t="s">
        <v>25</v>
      </c>
      <c r="D13" s="8"/>
    </row>
    <row r="14" customFormat="false" ht="15" hidden="false" customHeight="false" outlineLevel="0" collapsed="false">
      <c r="B14" s="5" t="s">
        <v>26</v>
      </c>
      <c r="C14" s="6" t="s">
        <v>27</v>
      </c>
      <c r="D14" s="6"/>
    </row>
    <row r="15" customFormat="false" ht="15" hidden="false" customHeight="false" outlineLevel="0" collapsed="false">
      <c r="B15" s="5" t="s">
        <v>28</v>
      </c>
      <c r="C15" s="6" t="s">
        <v>29</v>
      </c>
      <c r="D15" s="6"/>
    </row>
    <row r="16" customFormat="false" ht="15" hidden="false" customHeight="false" outlineLevel="0" collapsed="false">
      <c r="B16" s="5" t="s">
        <v>30</v>
      </c>
      <c r="C16" s="8" t="s">
        <v>31</v>
      </c>
      <c r="D16" s="8"/>
    </row>
    <row r="17" customFormat="false" ht="15" hidden="false" customHeight="false" outlineLevel="0" collapsed="false">
      <c r="B17" s="5" t="s">
        <v>32</v>
      </c>
      <c r="C17" s="8" t="s">
        <v>33</v>
      </c>
      <c r="D17" s="8"/>
    </row>
    <row r="18" customFormat="false" ht="15" hidden="false" customHeight="false" outlineLevel="0" collapsed="false">
      <c r="B18" s="5" t="s">
        <v>34</v>
      </c>
      <c r="C18" s="8" t="s">
        <v>35</v>
      </c>
      <c r="D18" s="8"/>
    </row>
    <row r="19" customFormat="false" ht="15" hidden="false" customHeight="false" outlineLevel="0" collapsed="false">
      <c r="B19" s="5" t="s">
        <v>36</v>
      </c>
      <c r="C19" s="6" t="s">
        <v>37</v>
      </c>
      <c r="D19" s="6"/>
    </row>
    <row r="22" customFormat="false" ht="15" hidden="false" customHeight="false" outlineLevel="0" collapsed="false">
      <c r="B22" s="4" t="s">
        <v>38</v>
      </c>
    </row>
    <row r="23" customFormat="false" ht="15" hidden="false" customHeight="false" outlineLevel="0" collapsed="false">
      <c r="B23" s="9" t="s">
        <v>20</v>
      </c>
      <c r="C23" s="9" t="s">
        <v>24</v>
      </c>
      <c r="D23" s="9" t="s">
        <v>39</v>
      </c>
      <c r="E23" s="9" t="s">
        <v>40</v>
      </c>
      <c r="F23" s="9" t="s">
        <v>41</v>
      </c>
      <c r="G23" s="9" t="s">
        <v>42</v>
      </c>
    </row>
    <row r="24" customFormat="false" ht="15" hidden="false" customHeight="false" outlineLevel="0" collapsed="false">
      <c r="B24" s="10" t="s">
        <v>21</v>
      </c>
      <c r="C24" s="10" t="s">
        <v>25</v>
      </c>
      <c r="D24" s="10" t="s">
        <v>29</v>
      </c>
      <c r="E24" s="10" t="s">
        <v>43</v>
      </c>
      <c r="F24" s="10" t="s">
        <v>44</v>
      </c>
      <c r="G24" s="10"/>
    </row>
    <row r="25" customFormat="false" ht="15" hidden="false" customHeight="false" outlineLevel="0" collapsed="false"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B26" s="10"/>
      <c r="C26" s="10"/>
      <c r="D26" s="10"/>
      <c r="E26" s="10"/>
      <c r="F26" s="10"/>
      <c r="G26" s="10"/>
    </row>
    <row r="27" customFormat="false" ht="15" hidden="false" customHeight="false" outlineLevel="0" collapsed="false"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B28" s="10"/>
      <c r="C28" s="10"/>
      <c r="D28" s="10"/>
      <c r="E28" s="10"/>
      <c r="F28" s="10"/>
      <c r="G28" s="10"/>
    </row>
    <row r="30" customFormat="false" ht="15" hidden="false" customHeight="false" outlineLevel="0" collapsed="false">
      <c r="B30" s="4" t="s">
        <v>45</v>
      </c>
    </row>
    <row r="31" customFormat="false" ht="25.5" hidden="false" customHeight="true" outlineLevel="0" collapsed="false">
      <c r="B31" s="12" t="s">
        <v>46</v>
      </c>
      <c r="C31" s="13" t="s">
        <v>23</v>
      </c>
      <c r="D31" s="14" t="s">
        <v>47</v>
      </c>
      <c r="E31" s="14"/>
      <c r="F31" s="14"/>
      <c r="G31" s="14"/>
    </row>
    <row r="32" customFormat="false" ht="25.5" hidden="false" customHeight="true" outlineLevel="0" collapsed="false">
      <c r="B32" s="12" t="s">
        <v>48</v>
      </c>
      <c r="C32" s="13" t="s">
        <v>49</v>
      </c>
      <c r="D32" s="14" t="s">
        <v>50</v>
      </c>
      <c r="E32" s="14"/>
      <c r="F32" s="14"/>
      <c r="G32" s="14"/>
    </row>
    <row r="33" customFormat="false" ht="25.5" hidden="false" customHeight="true" outlineLevel="0" collapsed="false">
      <c r="B33" s="12" t="s">
        <v>51</v>
      </c>
      <c r="C33" s="13" t="s">
        <v>52</v>
      </c>
      <c r="D33" s="14" t="s">
        <v>53</v>
      </c>
      <c r="E33" s="14"/>
      <c r="F33" s="14"/>
      <c r="G33" s="14"/>
    </row>
    <row r="34" customFormat="false" ht="25.5" hidden="false" customHeight="true" outlineLevel="0" collapsed="false">
      <c r="B34" s="12" t="s">
        <v>54</v>
      </c>
      <c r="C34" s="13" t="s">
        <v>55</v>
      </c>
      <c r="D34" s="14" t="s">
        <v>56</v>
      </c>
      <c r="E34" s="14"/>
      <c r="F34" s="14"/>
      <c r="G34" s="14"/>
    </row>
    <row r="36" customFormat="false" ht="15" hidden="false" customHeight="false" outlineLevel="0" collapsed="false">
      <c r="B36" s="4" t="s">
        <v>57</v>
      </c>
    </row>
    <row r="37" customFormat="false" ht="30" hidden="false" customHeight="true" outlineLevel="0" collapsed="false">
      <c r="B37" s="15" t="s">
        <v>58</v>
      </c>
      <c r="C37" s="15"/>
      <c r="D37" s="15"/>
      <c r="E37" s="15"/>
      <c r="F37" s="15"/>
      <c r="G37" s="15"/>
    </row>
    <row r="38" customFormat="false" ht="30" hidden="false" customHeight="true" outlineLevel="0" collapsed="false">
      <c r="B38" s="15" t="s">
        <v>59</v>
      </c>
      <c r="C38" s="15"/>
      <c r="D38" s="15"/>
      <c r="E38" s="15"/>
      <c r="F38" s="15"/>
      <c r="G38" s="15"/>
    </row>
    <row r="39" customFormat="false" ht="30" hidden="false" customHeight="true" outlineLevel="0" collapsed="false">
      <c r="B39" s="15" t="s">
        <v>60</v>
      </c>
      <c r="C39" s="15"/>
      <c r="D39" s="15"/>
      <c r="E39" s="15"/>
      <c r="F39" s="15"/>
      <c r="G39" s="15"/>
    </row>
    <row r="40" customFormat="false" ht="30" hidden="false" customHeight="true" outlineLevel="0" collapsed="false">
      <c r="B40" s="15" t="s">
        <v>61</v>
      </c>
      <c r="C40" s="15"/>
      <c r="D40" s="15"/>
      <c r="E40" s="15"/>
      <c r="F40" s="15"/>
      <c r="G40" s="15"/>
    </row>
    <row r="41" customFormat="false" ht="30" hidden="false" customHeight="true" outlineLevel="0" collapsed="false">
      <c r="B41" s="15" t="s">
        <v>62</v>
      </c>
      <c r="C41" s="15"/>
      <c r="D41" s="15"/>
      <c r="E41" s="15"/>
      <c r="F41" s="15"/>
      <c r="G41" s="15"/>
    </row>
    <row r="42" customFormat="false" ht="30" hidden="false" customHeight="true" outlineLevel="0" collapsed="false">
      <c r="B42" s="15" t="s">
        <v>63</v>
      </c>
      <c r="C42" s="15"/>
      <c r="D42" s="15"/>
      <c r="E42" s="15"/>
      <c r="F42" s="15"/>
      <c r="G42" s="15"/>
    </row>
  </sheetData>
  <mergeCells count="30">
    <mergeCell ref="B2:G2"/>
    <mergeCell ref="B3:G3"/>
    <mergeCell ref="B4:G4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D31:G31"/>
    <mergeCell ref="D32:G32"/>
    <mergeCell ref="D33:G33"/>
    <mergeCell ref="D34:G34"/>
    <mergeCell ref="B37:G37"/>
    <mergeCell ref="B38:G38"/>
    <mergeCell ref="B39:G39"/>
    <mergeCell ref="B40:G40"/>
    <mergeCell ref="B41:G41"/>
    <mergeCell ref="B42:G42"/>
  </mergeCells>
  <dataValidations count="2">
    <dataValidation allowBlank="true" errorStyle="stop" operator="between" showDropDown="false" showErrorMessage="false" showInputMessage="false" sqref="C12" type="list">
      <formula1>"Draft,In Review,Approved,Baselined,Superseded,Archived"</formula1>
      <formula2>0</formula2>
    </dataValidation>
    <dataValidation allowBlank="true" errorStyle="stop" operator="between" showDropDown="false" showErrorMessage="false" showInputMessage="false" sqref="C17" type="list">
      <formula1>"Public,Internal,Confidential,Restricted"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16" t="s">
        <v>64</v>
      </c>
      <c r="B1" s="16"/>
      <c r="C1" s="16"/>
      <c r="D1" s="16"/>
    </row>
    <row r="2" customFormat="false" ht="15.75" hidden="false" customHeight="true" outlineLevel="0" collapsed="false">
      <c r="A2" s="17" t="s">
        <v>65</v>
      </c>
      <c r="B2" s="17"/>
      <c r="C2" s="17"/>
      <c r="D2" s="17"/>
    </row>
    <row r="3" customFormat="false" ht="6" hidden="false" customHeight="true" outlineLevel="0" collapsed="false"/>
    <row r="5" customFormat="false" ht="15" hidden="false" customHeight="false" outlineLevel="0" collapsed="false">
      <c r="A5" s="18" t="s">
        <v>66</v>
      </c>
      <c r="B5" s="19" t="s">
        <v>67</v>
      </c>
      <c r="C5" s="20" t="s">
        <v>68</v>
      </c>
    </row>
    <row r="6" customFormat="false" ht="15" hidden="false" customHeight="false" outlineLevel="0" collapsed="false">
      <c r="A6" s="21" t="s">
        <v>69</v>
      </c>
      <c r="B6" s="19" t="s">
        <v>70</v>
      </c>
      <c r="C6" s="20" t="s">
        <v>71</v>
      </c>
    </row>
    <row r="7" customFormat="false" ht="15" hidden="false" customHeight="false" outlineLevel="0" collapsed="false">
      <c r="A7" s="22" t="s">
        <v>72</v>
      </c>
      <c r="B7" s="19" t="s">
        <v>73</v>
      </c>
      <c r="C7" s="20" t="s">
        <v>74</v>
      </c>
    </row>
    <row r="8" customFormat="false" ht="15" hidden="false" customHeight="false" outlineLevel="0" collapsed="false">
      <c r="A8" s="23" t="s">
        <v>75</v>
      </c>
      <c r="B8" s="19" t="s">
        <v>76</v>
      </c>
      <c r="C8" s="20" t="s">
        <v>77</v>
      </c>
    </row>
    <row r="9" customFormat="false" ht="15" hidden="false" customHeight="false" outlineLevel="0" collapsed="false">
      <c r="A9" s="21" t="s">
        <v>78</v>
      </c>
      <c r="B9" s="19" t="s">
        <v>79</v>
      </c>
      <c r="C9" s="20" t="s">
        <v>80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807E"/>
    <pageSetUpPr fitToPage="true"/>
  </sheetPr>
  <dimension ref="A1:Q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6"/>
    <col collapsed="false" customWidth="true" hidden="false" outlineLevel="0" max="14" min="3" style="0" width="9"/>
    <col collapsed="false" customWidth="true" hidden="false" outlineLevel="0" max="16" min="15" style="0" width="6"/>
    <col collapsed="false" customWidth="true" hidden="false" outlineLevel="0" max="17" min="17" style="0" width="8"/>
  </cols>
  <sheetData>
    <row r="1" customFormat="false" ht="25.5" hidden="false" customHeight="true" outlineLevel="0" collapsed="false">
      <c r="A1" s="16" t="s">
        <v>81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customFormat="false" ht="6" hidden="false" customHeight="true" outlineLevel="0" collapsed="false"/>
    <row r="4" customFormat="false" ht="99.75" hidden="false" customHeight="true" outlineLevel="0" collapsed="false">
      <c r="A4" s="24" t="s">
        <v>82</v>
      </c>
      <c r="B4" s="24" t="s">
        <v>83</v>
      </c>
      <c r="C4" s="25" t="s">
        <v>84</v>
      </c>
      <c r="D4" s="25" t="s">
        <v>85</v>
      </c>
      <c r="E4" s="25" t="s">
        <v>31</v>
      </c>
      <c r="F4" s="25" t="s">
        <v>86</v>
      </c>
      <c r="G4" s="25" t="s">
        <v>87</v>
      </c>
      <c r="H4" s="25" t="s">
        <v>88</v>
      </c>
      <c r="I4" s="25" t="s">
        <v>89</v>
      </c>
      <c r="J4" s="25" t="s">
        <v>90</v>
      </c>
      <c r="K4" s="25" t="s">
        <v>91</v>
      </c>
      <c r="L4" s="25" t="s">
        <v>92</v>
      </c>
      <c r="M4" s="25" t="s">
        <v>93</v>
      </c>
      <c r="N4" s="25" t="s">
        <v>94</v>
      </c>
      <c r="O4" s="26" t="s">
        <v>95</v>
      </c>
      <c r="P4" s="26" t="s">
        <v>96</v>
      </c>
      <c r="Q4" s="26" t="s">
        <v>97</v>
      </c>
    </row>
    <row r="5" customFormat="false" ht="15" hidden="false" customHeight="false" outlineLevel="0" collapsed="false">
      <c r="A5" s="27" t="s">
        <v>98</v>
      </c>
      <c r="B5" s="27" t="s">
        <v>99</v>
      </c>
      <c r="C5" s="28" t="s">
        <v>69</v>
      </c>
      <c r="D5" s="28" t="s">
        <v>75</v>
      </c>
      <c r="E5" s="28" t="s">
        <v>66</v>
      </c>
      <c r="F5" s="28" t="s">
        <v>72</v>
      </c>
      <c r="G5" s="28"/>
      <c r="H5" s="28"/>
      <c r="I5" s="28"/>
      <c r="J5" s="28"/>
      <c r="K5" s="28"/>
      <c r="L5" s="28" t="s">
        <v>72</v>
      </c>
      <c r="M5" s="28" t="s">
        <v>72</v>
      </c>
      <c r="N5" s="28"/>
      <c r="O5" s="29" t="n">
        <f aca="false">IF(B5="","",COUNTIF(C5:N5,"A")+COUNTIF(C5:N5,"A/R"))</f>
        <v>1</v>
      </c>
      <c r="P5" s="29" t="n">
        <f aca="false">IF(B5="","",COUNTIF(C5:N5,"R")+COUNTIF(C5:N5,"A/R"))</f>
        <v>1</v>
      </c>
      <c r="Q5" s="30" t="str">
        <f aca="false">IF(B5="","",IF(AND(O5=1,P5&gt;=1),"OK","Fix"))</f>
        <v>OK</v>
      </c>
    </row>
    <row r="6" customFormat="false" ht="15" hidden="false" customHeight="false" outlineLevel="0" collapsed="false">
      <c r="A6" s="31" t="s">
        <v>98</v>
      </c>
      <c r="B6" s="31" t="s">
        <v>100</v>
      </c>
      <c r="C6" s="32" t="s">
        <v>75</v>
      </c>
      <c r="D6" s="32"/>
      <c r="E6" s="32" t="s">
        <v>78</v>
      </c>
      <c r="F6" s="32" t="s">
        <v>72</v>
      </c>
      <c r="G6" s="32" t="s">
        <v>72</v>
      </c>
      <c r="H6" s="32"/>
      <c r="I6" s="32"/>
      <c r="J6" s="32"/>
      <c r="K6" s="32"/>
      <c r="L6" s="32"/>
      <c r="M6" s="32"/>
      <c r="N6" s="32"/>
      <c r="O6" s="29" t="n">
        <f aca="false">IF(B6="","",COUNTIF(C6:N6,"A")+COUNTIF(C6:N6,"A/R"))</f>
        <v>1</v>
      </c>
      <c r="P6" s="29" t="n">
        <f aca="false">IF(B6="","",COUNTIF(C6:N6,"R")+COUNTIF(C6:N6,"A/R"))</f>
        <v>1</v>
      </c>
      <c r="Q6" s="30" t="str">
        <f aca="false">IF(B6="","",IF(AND(O6=1,P6&gt;=1),"OK","Fix"))</f>
        <v>OK</v>
      </c>
    </row>
    <row r="7" customFormat="false" ht="15" hidden="false" customHeight="false" outlineLevel="0" collapsed="false">
      <c r="A7" s="27" t="s">
        <v>101</v>
      </c>
      <c r="B7" s="27" t="s">
        <v>102</v>
      </c>
      <c r="C7" s="28" t="s">
        <v>69</v>
      </c>
      <c r="D7" s="28" t="s">
        <v>72</v>
      </c>
      <c r="E7" s="28" t="s">
        <v>66</v>
      </c>
      <c r="F7" s="28" t="s">
        <v>72</v>
      </c>
      <c r="G7" s="28" t="s">
        <v>72</v>
      </c>
      <c r="H7" s="28" t="s">
        <v>72</v>
      </c>
      <c r="I7" s="28" t="s">
        <v>75</v>
      </c>
      <c r="J7" s="28" t="s">
        <v>72</v>
      </c>
      <c r="K7" s="28" t="s">
        <v>72</v>
      </c>
      <c r="L7" s="28" t="s">
        <v>72</v>
      </c>
      <c r="M7" s="28" t="s">
        <v>72</v>
      </c>
      <c r="N7" s="28"/>
      <c r="O7" s="29" t="n">
        <f aca="false">IF(B7="","",COUNTIF(C7:N7,"A")+COUNTIF(C7:N7,"A/R"))</f>
        <v>1</v>
      </c>
      <c r="P7" s="29" t="n">
        <f aca="false">IF(B7="","",COUNTIF(C7:N7,"R")+COUNTIF(C7:N7,"A/R"))</f>
        <v>1</v>
      </c>
      <c r="Q7" s="30" t="str">
        <f aca="false">IF(B7="","",IF(AND(O7=1,P7&gt;=1),"OK","Fix"))</f>
        <v>OK</v>
      </c>
    </row>
    <row r="8" customFormat="false" ht="15" hidden="false" customHeight="false" outlineLevel="0" collapsed="false">
      <c r="A8" s="31" t="s">
        <v>101</v>
      </c>
      <c r="B8" s="31" t="s">
        <v>103</v>
      </c>
      <c r="C8" s="32" t="s">
        <v>69</v>
      </c>
      <c r="D8" s="32" t="s">
        <v>75</v>
      </c>
      <c r="E8" s="32" t="s">
        <v>66</v>
      </c>
      <c r="F8" s="32" t="s">
        <v>72</v>
      </c>
      <c r="G8" s="32" t="s">
        <v>72</v>
      </c>
      <c r="H8" s="32" t="s">
        <v>72</v>
      </c>
      <c r="I8" s="32" t="s">
        <v>72</v>
      </c>
      <c r="J8" s="32"/>
      <c r="K8" s="32"/>
      <c r="L8" s="32"/>
      <c r="M8" s="32"/>
      <c r="N8" s="32"/>
      <c r="O8" s="29" t="n">
        <f aca="false">IF(B8="","",COUNTIF(C8:N8,"A")+COUNTIF(C8:N8,"A/R"))</f>
        <v>1</v>
      </c>
      <c r="P8" s="29" t="n">
        <f aca="false">IF(B8="","",COUNTIF(C8:N8,"R")+COUNTIF(C8:N8,"A/R"))</f>
        <v>1</v>
      </c>
      <c r="Q8" s="30" t="str">
        <f aca="false">IF(B8="","",IF(AND(O8=1,P8&gt;=1),"OK","Fix"))</f>
        <v>OK</v>
      </c>
    </row>
    <row r="9" customFormat="false" ht="15" hidden="false" customHeight="false" outlineLevel="0" collapsed="false">
      <c r="A9" s="27" t="s">
        <v>101</v>
      </c>
      <c r="B9" s="27" t="s">
        <v>104</v>
      </c>
      <c r="C9" s="28" t="s">
        <v>69</v>
      </c>
      <c r="D9" s="28" t="s">
        <v>75</v>
      </c>
      <c r="E9" s="28" t="s">
        <v>66</v>
      </c>
      <c r="F9" s="28" t="s">
        <v>72</v>
      </c>
      <c r="G9" s="28"/>
      <c r="H9" s="28" t="s">
        <v>72</v>
      </c>
      <c r="I9" s="28" t="s">
        <v>72</v>
      </c>
      <c r="J9" s="28"/>
      <c r="K9" s="28"/>
      <c r="L9" s="28" t="s">
        <v>72</v>
      </c>
      <c r="M9" s="28"/>
      <c r="N9" s="28"/>
      <c r="O9" s="29" t="n">
        <f aca="false">IF(B9="","",COUNTIF(C9:N9,"A")+COUNTIF(C9:N9,"A/R"))</f>
        <v>1</v>
      </c>
      <c r="P9" s="29" t="n">
        <f aca="false">IF(B9="","",COUNTIF(C9:N9,"R")+COUNTIF(C9:N9,"A/R"))</f>
        <v>1</v>
      </c>
      <c r="Q9" s="30" t="str">
        <f aca="false">IF(B9="","",IF(AND(O9=1,P9&gt;=1),"OK","Fix"))</f>
        <v>OK</v>
      </c>
    </row>
    <row r="10" customFormat="false" ht="15" hidden="false" customHeight="false" outlineLevel="0" collapsed="false">
      <c r="A10" s="31" t="s">
        <v>101</v>
      </c>
      <c r="B10" s="31" t="s">
        <v>105</v>
      </c>
      <c r="C10" s="32" t="s">
        <v>69</v>
      </c>
      <c r="D10" s="32" t="s">
        <v>75</v>
      </c>
      <c r="E10" s="32" t="s">
        <v>66</v>
      </c>
      <c r="F10" s="32" t="s">
        <v>72</v>
      </c>
      <c r="G10" s="32"/>
      <c r="H10" s="32" t="s">
        <v>72</v>
      </c>
      <c r="I10" s="32"/>
      <c r="J10" s="32"/>
      <c r="K10" s="32" t="s">
        <v>72</v>
      </c>
      <c r="L10" s="32"/>
      <c r="M10" s="32" t="s">
        <v>72</v>
      </c>
      <c r="N10" s="32"/>
      <c r="O10" s="29" t="n">
        <f aca="false">IF(B10="","",COUNTIF(C10:N10,"A")+COUNTIF(C10:N10,"A/R"))</f>
        <v>1</v>
      </c>
      <c r="P10" s="29" t="n">
        <f aca="false">IF(B10="","",COUNTIF(C10:N10,"R")+COUNTIF(C10:N10,"A/R"))</f>
        <v>1</v>
      </c>
      <c r="Q10" s="30" t="str">
        <f aca="false">IF(B10="","",IF(AND(O10=1,P10&gt;=1),"OK","Fix"))</f>
        <v>OK</v>
      </c>
    </row>
    <row r="11" customFormat="false" ht="15" hidden="false" customHeight="false" outlineLevel="0" collapsed="false">
      <c r="A11" s="27" t="s">
        <v>101</v>
      </c>
      <c r="B11" s="27" t="s">
        <v>106</v>
      </c>
      <c r="C11" s="28" t="s">
        <v>72</v>
      </c>
      <c r="D11" s="28" t="s">
        <v>75</v>
      </c>
      <c r="E11" s="28" t="s">
        <v>78</v>
      </c>
      <c r="F11" s="28" t="s">
        <v>72</v>
      </c>
      <c r="G11" s="28" t="s">
        <v>72</v>
      </c>
      <c r="H11" s="28" t="s">
        <v>72</v>
      </c>
      <c r="I11" s="28" t="s">
        <v>72</v>
      </c>
      <c r="J11" s="28" t="s">
        <v>72</v>
      </c>
      <c r="K11" s="28"/>
      <c r="L11" s="28" t="s">
        <v>72</v>
      </c>
      <c r="M11" s="28"/>
      <c r="N11" s="28"/>
      <c r="O11" s="29" t="n">
        <f aca="false">IF(B11="","",COUNTIF(C11:N11,"A")+COUNTIF(C11:N11,"A/R"))</f>
        <v>1</v>
      </c>
      <c r="P11" s="29" t="n">
        <f aca="false">IF(B11="","",COUNTIF(C11:N11,"R")+COUNTIF(C11:N11,"A/R"))</f>
        <v>1</v>
      </c>
      <c r="Q11" s="30" t="str">
        <f aca="false">IF(B11="","",IF(AND(O11=1,P11&gt;=1),"OK","Fix"))</f>
        <v>OK</v>
      </c>
    </row>
    <row r="12" customFormat="false" ht="15" hidden="false" customHeight="false" outlineLevel="0" collapsed="false">
      <c r="A12" s="31" t="s">
        <v>107</v>
      </c>
      <c r="B12" s="31" t="s">
        <v>108</v>
      </c>
      <c r="C12" s="32" t="s">
        <v>75</v>
      </c>
      <c r="D12" s="32"/>
      <c r="E12" s="32" t="s">
        <v>72</v>
      </c>
      <c r="F12" s="32" t="s">
        <v>69</v>
      </c>
      <c r="G12" s="32" t="s">
        <v>66</v>
      </c>
      <c r="H12" s="32" t="s">
        <v>72</v>
      </c>
      <c r="I12" s="32" t="s">
        <v>72</v>
      </c>
      <c r="J12" s="32" t="s">
        <v>72</v>
      </c>
      <c r="K12" s="32"/>
      <c r="L12" s="32"/>
      <c r="M12" s="32"/>
      <c r="N12" s="32" t="s">
        <v>72</v>
      </c>
      <c r="O12" s="29" t="n">
        <f aca="false">IF(B12="","",COUNTIF(C12:N12,"A")+COUNTIF(C12:N12,"A/R"))</f>
        <v>1</v>
      </c>
      <c r="P12" s="29" t="n">
        <f aca="false">IF(B12="","",COUNTIF(C12:N12,"R")+COUNTIF(C12:N12,"A/R"))</f>
        <v>1</v>
      </c>
      <c r="Q12" s="30" t="str">
        <f aca="false">IF(B12="","",IF(AND(O12=1,P12&gt;=1),"OK","Fix"))</f>
        <v>OK</v>
      </c>
    </row>
    <row r="13" customFormat="false" ht="15" hidden="false" customHeight="false" outlineLevel="0" collapsed="false">
      <c r="A13" s="27" t="s">
        <v>109</v>
      </c>
      <c r="B13" s="27" t="s">
        <v>110</v>
      </c>
      <c r="C13" s="28" t="s">
        <v>75</v>
      </c>
      <c r="D13" s="28"/>
      <c r="E13" s="28" t="s">
        <v>72</v>
      </c>
      <c r="F13" s="28" t="s">
        <v>72</v>
      </c>
      <c r="G13" s="28" t="s">
        <v>72</v>
      </c>
      <c r="H13" s="28" t="s">
        <v>78</v>
      </c>
      <c r="I13" s="28" t="s">
        <v>72</v>
      </c>
      <c r="J13" s="28" t="s">
        <v>72</v>
      </c>
      <c r="K13" s="28"/>
      <c r="L13" s="28"/>
      <c r="M13" s="28"/>
      <c r="N13" s="28"/>
      <c r="O13" s="29" t="n">
        <f aca="false">IF(B13="","",COUNTIF(C13:N13,"A")+COUNTIF(C13:N13,"A/R"))</f>
        <v>1</v>
      </c>
      <c r="P13" s="29" t="n">
        <f aca="false">IF(B13="","",COUNTIF(C13:N13,"R")+COUNTIF(C13:N13,"A/R"))</f>
        <v>1</v>
      </c>
      <c r="Q13" s="30" t="str">
        <f aca="false">IF(B13="","",IF(AND(O13=1,P13&gt;=1),"OK","Fix"))</f>
        <v>OK</v>
      </c>
    </row>
    <row r="14" customFormat="false" ht="15" hidden="false" customHeight="false" outlineLevel="0" collapsed="false">
      <c r="A14" s="31" t="s">
        <v>111</v>
      </c>
      <c r="B14" s="31" t="s">
        <v>112</v>
      </c>
      <c r="C14" s="32" t="s">
        <v>69</v>
      </c>
      <c r="D14" s="32" t="s">
        <v>75</v>
      </c>
      <c r="E14" s="32" t="s">
        <v>66</v>
      </c>
      <c r="F14" s="32" t="s">
        <v>72</v>
      </c>
      <c r="G14" s="32"/>
      <c r="H14" s="32" t="s">
        <v>72</v>
      </c>
      <c r="I14" s="32"/>
      <c r="J14" s="32"/>
      <c r="K14" s="32" t="s">
        <v>66</v>
      </c>
      <c r="L14" s="32"/>
      <c r="M14" s="32" t="s">
        <v>72</v>
      </c>
      <c r="N14" s="32"/>
      <c r="O14" s="29" t="n">
        <f aca="false">IF(B14="","",COUNTIF(C14:N14,"A")+COUNTIF(C14:N14,"A/R"))</f>
        <v>1</v>
      </c>
      <c r="P14" s="29" t="n">
        <f aca="false">IF(B14="","",COUNTIF(C14:N14,"R")+COUNTIF(C14:N14,"A/R"))</f>
        <v>2</v>
      </c>
      <c r="Q14" s="30" t="str">
        <f aca="false">IF(B14="","",IF(AND(O14=1,P14&gt;=1),"OK","Fix"))</f>
        <v>OK</v>
      </c>
    </row>
    <row r="15" customFormat="false" ht="15" hidden="false" customHeight="false" outlineLevel="0" collapsed="false">
      <c r="A15" s="27" t="s">
        <v>111</v>
      </c>
      <c r="B15" s="27" t="s">
        <v>113</v>
      </c>
      <c r="C15" s="28"/>
      <c r="D15" s="28"/>
      <c r="E15" s="28" t="s">
        <v>69</v>
      </c>
      <c r="F15" s="28" t="s">
        <v>75</v>
      </c>
      <c r="G15" s="28" t="s">
        <v>72</v>
      </c>
      <c r="H15" s="28" t="s">
        <v>66</v>
      </c>
      <c r="I15" s="28" t="s">
        <v>66</v>
      </c>
      <c r="J15" s="28" t="s">
        <v>72</v>
      </c>
      <c r="K15" s="28"/>
      <c r="L15" s="28"/>
      <c r="M15" s="28"/>
      <c r="N15" s="28"/>
      <c r="O15" s="29" t="n">
        <f aca="false">IF(B15="","",COUNTIF(C15:N15,"A")+COUNTIF(C15:N15,"A/R"))</f>
        <v>1</v>
      </c>
      <c r="P15" s="29" t="n">
        <f aca="false">IF(B15="","",COUNTIF(C15:N15,"R")+COUNTIF(C15:N15,"A/R"))</f>
        <v>2</v>
      </c>
      <c r="Q15" s="30" t="str">
        <f aca="false">IF(B15="","",IF(AND(O15=1,P15&gt;=1),"OK","Fix"))</f>
        <v>OK</v>
      </c>
    </row>
    <row r="16" customFormat="false" ht="15" hidden="false" customHeight="false" outlineLevel="0" collapsed="false">
      <c r="A16" s="31" t="s">
        <v>114</v>
      </c>
      <c r="B16" s="31" t="s">
        <v>115</v>
      </c>
      <c r="C16" s="32"/>
      <c r="D16" s="32"/>
      <c r="E16" s="32" t="s">
        <v>69</v>
      </c>
      <c r="F16" s="32" t="s">
        <v>72</v>
      </c>
      <c r="G16" s="32" t="s">
        <v>72</v>
      </c>
      <c r="H16" s="32" t="s">
        <v>72</v>
      </c>
      <c r="I16" s="32" t="s">
        <v>66</v>
      </c>
      <c r="J16" s="32" t="s">
        <v>66</v>
      </c>
      <c r="K16" s="32"/>
      <c r="L16" s="32"/>
      <c r="M16" s="32"/>
      <c r="N16" s="32" t="s">
        <v>72</v>
      </c>
      <c r="O16" s="29" t="n">
        <f aca="false">IF(B16="","",COUNTIF(C16:N16,"A")+COUNTIF(C16:N16,"A/R"))</f>
        <v>1</v>
      </c>
      <c r="P16" s="29" t="n">
        <f aca="false">IF(B16="","",COUNTIF(C16:N16,"R")+COUNTIF(C16:N16,"A/R"))</f>
        <v>2</v>
      </c>
      <c r="Q16" s="30" t="str">
        <f aca="false">IF(B16="","",IF(AND(O16=1,P16&gt;=1),"OK","Fix"))</f>
        <v>OK</v>
      </c>
    </row>
    <row r="17" customFormat="false" ht="15" hidden="false" customHeight="false" outlineLevel="0" collapsed="false">
      <c r="A17" s="27" t="s">
        <v>116</v>
      </c>
      <c r="B17" s="27" t="s">
        <v>117</v>
      </c>
      <c r="C17" s="28" t="s">
        <v>75</v>
      </c>
      <c r="D17" s="28" t="s">
        <v>75</v>
      </c>
      <c r="E17" s="28" t="s">
        <v>66</v>
      </c>
      <c r="F17" s="28" t="s">
        <v>69</v>
      </c>
      <c r="G17" s="28" t="s">
        <v>72</v>
      </c>
      <c r="H17" s="28" t="s">
        <v>72</v>
      </c>
      <c r="I17" s="28"/>
      <c r="J17" s="28" t="s">
        <v>72</v>
      </c>
      <c r="K17" s="28"/>
      <c r="L17" s="28"/>
      <c r="M17" s="28"/>
      <c r="N17" s="28" t="s">
        <v>66</v>
      </c>
      <c r="O17" s="29" t="n">
        <f aca="false">IF(B17="","",COUNTIF(C17:N17,"A")+COUNTIF(C17:N17,"A/R"))</f>
        <v>1</v>
      </c>
      <c r="P17" s="29" t="n">
        <f aca="false">IF(B17="","",COUNTIF(C17:N17,"R")+COUNTIF(C17:N17,"A/R"))</f>
        <v>2</v>
      </c>
      <c r="Q17" s="30" t="str">
        <f aca="false">IF(B17="","",IF(AND(O17=1,P17&gt;=1),"OK","Fix"))</f>
        <v>OK</v>
      </c>
    </row>
    <row r="18" customFormat="false" ht="15" hidden="false" customHeight="false" outlineLevel="0" collapsed="false">
      <c r="A18" s="31" t="s">
        <v>118</v>
      </c>
      <c r="B18" s="31" t="s">
        <v>119</v>
      </c>
      <c r="C18" s="32" t="s">
        <v>69</v>
      </c>
      <c r="D18" s="32" t="s">
        <v>72</v>
      </c>
      <c r="E18" s="32" t="s">
        <v>66</v>
      </c>
      <c r="F18" s="32" t="s">
        <v>72</v>
      </c>
      <c r="G18" s="32"/>
      <c r="H18" s="32" t="s">
        <v>72</v>
      </c>
      <c r="I18" s="32"/>
      <c r="J18" s="32"/>
      <c r="K18" s="32"/>
      <c r="L18" s="32" t="s">
        <v>75</v>
      </c>
      <c r="M18" s="32" t="s">
        <v>72</v>
      </c>
      <c r="N18" s="32"/>
      <c r="O18" s="29" t="n">
        <f aca="false">IF(B18="","",COUNTIF(C18:N18,"A")+COUNTIF(C18:N18,"A/R"))</f>
        <v>1</v>
      </c>
      <c r="P18" s="29" t="n">
        <f aca="false">IF(B18="","",COUNTIF(C18:N18,"R")+COUNTIF(C18:N18,"A/R"))</f>
        <v>1</v>
      </c>
      <c r="Q18" s="30" t="str">
        <f aca="false">IF(B18="","",IF(AND(O18=1,P18&gt;=1),"OK","Fix"))</f>
        <v>OK</v>
      </c>
    </row>
    <row r="19" customFormat="false" ht="15" hidden="false" customHeight="false" outlineLevel="0" collapsed="false">
      <c r="A19" s="27" t="s">
        <v>118</v>
      </c>
      <c r="B19" s="27" t="s">
        <v>120</v>
      </c>
      <c r="C19" s="28" t="s">
        <v>75</v>
      </c>
      <c r="D19" s="28" t="s">
        <v>75</v>
      </c>
      <c r="E19" s="28" t="s">
        <v>78</v>
      </c>
      <c r="F19" s="28" t="s">
        <v>75</v>
      </c>
      <c r="G19" s="28"/>
      <c r="H19" s="28"/>
      <c r="I19" s="28"/>
      <c r="J19" s="28"/>
      <c r="K19" s="28"/>
      <c r="L19" s="28" t="s">
        <v>75</v>
      </c>
      <c r="M19" s="28"/>
      <c r="N19" s="28"/>
      <c r="O19" s="29" t="n">
        <f aca="false">IF(B19="","",COUNTIF(C19:N19,"A")+COUNTIF(C19:N19,"A/R"))</f>
        <v>1</v>
      </c>
      <c r="P19" s="29" t="n">
        <f aca="false">IF(B19="","",COUNTIF(C19:N19,"R")+COUNTIF(C19:N19,"A/R"))</f>
        <v>1</v>
      </c>
      <c r="Q19" s="30" t="str">
        <f aca="false">IF(B19="","",IF(AND(O19=1,P19&gt;=1),"OK","Fix"))</f>
        <v>OK</v>
      </c>
    </row>
    <row r="20" customFormat="false" ht="15" hidden="false" customHeight="false" outlineLevel="0" collapsed="false">
      <c r="A20" s="31" t="s">
        <v>121</v>
      </c>
      <c r="B20" s="31" t="s">
        <v>122</v>
      </c>
      <c r="C20" s="32" t="s">
        <v>75</v>
      </c>
      <c r="D20" s="32"/>
      <c r="E20" s="32" t="s">
        <v>69</v>
      </c>
      <c r="F20" s="32" t="s">
        <v>72</v>
      </c>
      <c r="G20" s="32" t="s">
        <v>72</v>
      </c>
      <c r="H20" s="32"/>
      <c r="I20" s="32" t="s">
        <v>66</v>
      </c>
      <c r="J20" s="32"/>
      <c r="K20" s="32"/>
      <c r="L20" s="32"/>
      <c r="M20" s="32"/>
      <c r="N20" s="32" t="s">
        <v>75</v>
      </c>
      <c r="O20" s="29" t="n">
        <f aca="false">IF(B20="","",COUNTIF(C20:N20,"A")+COUNTIF(C20:N20,"A/R"))</f>
        <v>1</v>
      </c>
      <c r="P20" s="29" t="n">
        <f aca="false">IF(B20="","",COUNTIF(C20:N20,"R")+COUNTIF(C20:N20,"A/R"))</f>
        <v>1</v>
      </c>
      <c r="Q20" s="30" t="str">
        <f aca="false">IF(B20="","",IF(AND(O20=1,P20&gt;=1),"OK","Fix"))</f>
        <v>OK</v>
      </c>
    </row>
    <row r="21" customFormat="false" ht="15" hidden="false" customHeight="false" outlineLevel="0" collapsed="false">
      <c r="A21" s="27" t="s">
        <v>123</v>
      </c>
      <c r="B21" s="27" t="s">
        <v>124</v>
      </c>
      <c r="C21" s="28" t="s">
        <v>72</v>
      </c>
      <c r="D21" s="28" t="s">
        <v>75</v>
      </c>
      <c r="E21" s="28" t="s">
        <v>66</v>
      </c>
      <c r="F21" s="28" t="s">
        <v>69</v>
      </c>
      <c r="G21" s="28"/>
      <c r="H21" s="28" t="s">
        <v>72</v>
      </c>
      <c r="I21" s="28" t="s">
        <v>72</v>
      </c>
      <c r="J21" s="28"/>
      <c r="K21" s="28"/>
      <c r="L21" s="28"/>
      <c r="M21" s="28"/>
      <c r="N21" s="28" t="s">
        <v>75</v>
      </c>
      <c r="O21" s="29" t="n">
        <f aca="false">IF(B21="","",COUNTIF(C21:N21,"A")+COUNTIF(C21:N21,"A/R"))</f>
        <v>1</v>
      </c>
      <c r="P21" s="29" t="n">
        <f aca="false">IF(B21="","",COUNTIF(C21:N21,"R")+COUNTIF(C21:N21,"A/R"))</f>
        <v>1</v>
      </c>
      <c r="Q21" s="30" t="str">
        <f aca="false">IF(B21="","",IF(AND(O21=1,P21&gt;=1),"OK","Fix"))</f>
        <v>OK</v>
      </c>
    </row>
    <row r="22" customFormat="false" ht="15" hidden="false" customHeight="false" outlineLevel="0" collapsed="false">
      <c r="A22" s="31" t="s">
        <v>125</v>
      </c>
      <c r="B22" s="31" t="s">
        <v>126</v>
      </c>
      <c r="C22" s="32" t="s">
        <v>75</v>
      </c>
      <c r="D22" s="32" t="s">
        <v>75</v>
      </c>
      <c r="E22" s="32" t="s">
        <v>78</v>
      </c>
      <c r="F22" s="32" t="s">
        <v>72</v>
      </c>
      <c r="G22" s="32" t="s">
        <v>72</v>
      </c>
      <c r="H22" s="32" t="s">
        <v>72</v>
      </c>
      <c r="I22" s="32" t="s">
        <v>72</v>
      </c>
      <c r="J22" s="32" t="s">
        <v>72</v>
      </c>
      <c r="K22" s="32"/>
      <c r="L22" s="32" t="s">
        <v>72</v>
      </c>
      <c r="M22" s="32"/>
      <c r="N22" s="32"/>
      <c r="O22" s="29" t="n">
        <f aca="false">IF(B22="","",COUNTIF(C22:N22,"A")+COUNTIF(C22:N22,"A/R"))</f>
        <v>1</v>
      </c>
      <c r="P22" s="29" t="n">
        <f aca="false">IF(B22="","",COUNTIF(C22:N22,"R")+COUNTIF(C22:N22,"A/R"))</f>
        <v>1</v>
      </c>
      <c r="Q22" s="30" t="str">
        <f aca="false">IF(B22="","",IF(AND(O22=1,P22&gt;=1),"OK","Fix"))</f>
        <v>OK</v>
      </c>
    </row>
    <row r="23" customFormat="false" ht="15" hidden="false" customHeight="false" outlineLevel="0" collapsed="false">
      <c r="A23" s="27" t="s">
        <v>125</v>
      </c>
      <c r="B23" s="27" t="s">
        <v>127</v>
      </c>
      <c r="C23" s="28" t="s">
        <v>69</v>
      </c>
      <c r="D23" s="28" t="s">
        <v>75</v>
      </c>
      <c r="E23" s="28" t="s">
        <v>66</v>
      </c>
      <c r="F23" s="28" t="s">
        <v>72</v>
      </c>
      <c r="G23" s="28"/>
      <c r="H23" s="28"/>
      <c r="I23" s="28"/>
      <c r="J23" s="28"/>
      <c r="K23" s="28" t="s">
        <v>72</v>
      </c>
      <c r="L23" s="28" t="s">
        <v>72</v>
      </c>
      <c r="M23" s="28" t="s">
        <v>72</v>
      </c>
      <c r="N23" s="28"/>
      <c r="O23" s="29" t="n">
        <f aca="false">IF(B23="","",COUNTIF(C23:N23,"A")+COUNTIF(C23:N23,"A/R"))</f>
        <v>1</v>
      </c>
      <c r="P23" s="29" t="n">
        <f aca="false">IF(B23="","",COUNTIF(C23:N23,"R")+COUNTIF(C23:N23,"A/R"))</f>
        <v>1</v>
      </c>
      <c r="Q23" s="30" t="str">
        <f aca="false">IF(B23="","",IF(AND(O23=1,P23&gt;=1),"OK","Fix"))</f>
        <v>OK</v>
      </c>
    </row>
    <row r="24" customFormat="false" ht="15" hidden="false" customHeight="false" outlineLevel="0" collapsed="false">
      <c r="A24" s="31"/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29" t="str">
        <f aca="false">IF(B24="","",COUNTIF(C24:N24,"A")+COUNTIF(C24:N24,"A/R"))</f>
        <v/>
      </c>
      <c r="P24" s="29" t="str">
        <f aca="false">IF(B24="","",COUNTIF(C24:N24,"R")+COUNTIF(C24:N24,"A/R"))</f>
        <v/>
      </c>
      <c r="Q24" s="30" t="str">
        <f aca="false">IF(B24="","",IF(AND(O24=1,P24&gt;=1),"OK","Fix"))</f>
        <v/>
      </c>
    </row>
    <row r="25" customFormat="false" ht="15" hidden="false" customHeight="false" outlineLevel="0" collapsed="false">
      <c r="A25" s="27"/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9" t="str">
        <f aca="false">IF(B25="","",COUNTIF(C25:N25,"A")+COUNTIF(C25:N25,"A/R"))</f>
        <v/>
      </c>
      <c r="P25" s="29" t="str">
        <f aca="false">IF(B25="","",COUNTIF(C25:N25,"R")+COUNTIF(C25:N25,"A/R"))</f>
        <v/>
      </c>
      <c r="Q25" s="30" t="str">
        <f aca="false">IF(B25="","",IF(AND(O25=1,P25&gt;=1),"OK","Fix"))</f>
        <v/>
      </c>
    </row>
    <row r="26" customFormat="false" ht="15" hidden="false" customHeight="false" outlineLevel="0" collapsed="false">
      <c r="A26" s="31"/>
      <c r="B26" s="31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29" t="str">
        <f aca="false">IF(B26="","",COUNTIF(C26:N26,"A")+COUNTIF(C26:N26,"A/R"))</f>
        <v/>
      </c>
      <c r="P26" s="29" t="str">
        <f aca="false">IF(B26="","",COUNTIF(C26:N26,"R")+COUNTIF(C26:N26,"A/R"))</f>
        <v/>
      </c>
      <c r="Q26" s="30" t="str">
        <f aca="false">IF(B26="","",IF(AND(O26=1,P26&gt;=1),"OK","Fix"))</f>
        <v/>
      </c>
    </row>
    <row r="27" customFormat="false" ht="15" hidden="false" customHeight="false" outlineLevel="0" collapsed="false">
      <c r="A27" s="27"/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9" t="str">
        <f aca="false">IF(B27="","",COUNTIF(C27:N27,"A")+COUNTIF(C27:N27,"A/R"))</f>
        <v/>
      </c>
      <c r="P27" s="29" t="str">
        <f aca="false">IF(B27="","",COUNTIF(C27:N27,"R")+COUNTIF(C27:N27,"A/R"))</f>
        <v/>
      </c>
      <c r="Q27" s="30" t="str">
        <f aca="false">IF(B27="","",IF(AND(O27=1,P27&gt;=1),"OK","Fix"))</f>
        <v/>
      </c>
    </row>
    <row r="28" customFormat="false" ht="15" hidden="false" customHeight="false" outlineLevel="0" collapsed="false">
      <c r="A28" s="31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29" t="str">
        <f aca="false">IF(B28="","",COUNTIF(C28:N28,"A")+COUNTIF(C28:N28,"A/R"))</f>
        <v/>
      </c>
      <c r="P28" s="29" t="str">
        <f aca="false">IF(B28="","",COUNTIF(C28:N28,"R")+COUNTIF(C28:N28,"A/R"))</f>
        <v/>
      </c>
      <c r="Q28" s="30" t="str">
        <f aca="false">IF(B28="","",IF(AND(O28=1,P28&gt;=1),"OK","Fix"))</f>
        <v/>
      </c>
    </row>
    <row r="29" customFormat="false" ht="15" hidden="false" customHeight="false" outlineLevel="0" collapsed="false">
      <c r="A29" s="27"/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9" t="str">
        <f aca="false">IF(B29="","",COUNTIF(C29:N29,"A")+COUNTIF(C29:N29,"A/R"))</f>
        <v/>
      </c>
      <c r="P29" s="29" t="str">
        <f aca="false">IF(B29="","",COUNTIF(C29:N29,"R")+COUNTIF(C29:N29,"A/R"))</f>
        <v/>
      </c>
      <c r="Q29" s="30" t="str">
        <f aca="false">IF(B29="","",IF(AND(O29=1,P29&gt;=1),"OK","Fix"))</f>
        <v/>
      </c>
    </row>
    <row r="30" customFormat="false" ht="15" hidden="false" customHeight="false" outlineLevel="0" collapsed="false">
      <c r="A30" s="31"/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29" t="str">
        <f aca="false">IF(B30="","",COUNTIF(C30:N30,"A")+COUNTIF(C30:N30,"A/R"))</f>
        <v/>
      </c>
      <c r="P30" s="29" t="str">
        <f aca="false">IF(B30="","",COUNTIF(C30:N30,"R")+COUNTIF(C30:N30,"A/R"))</f>
        <v/>
      </c>
      <c r="Q30" s="30" t="str">
        <f aca="false">IF(B30="","",IF(AND(O30=1,P30&gt;=1),"OK","Fix"))</f>
        <v/>
      </c>
    </row>
    <row r="31" customFormat="false" ht="15" hidden="false" customHeight="false" outlineLevel="0" collapsed="false">
      <c r="A31" s="27"/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9" t="str">
        <f aca="false">IF(B31="","",COUNTIF(C31:N31,"A")+COUNTIF(C31:N31,"A/R"))</f>
        <v/>
      </c>
      <c r="P31" s="29" t="str">
        <f aca="false">IF(B31="","",COUNTIF(C31:N31,"R")+COUNTIF(C31:N31,"A/R"))</f>
        <v/>
      </c>
      <c r="Q31" s="30" t="str">
        <f aca="false">IF(B31="","",IF(AND(O31=1,P31&gt;=1),"OK","Fix"))</f>
        <v/>
      </c>
    </row>
    <row r="32" customFormat="false" ht="15" hidden="false" customHeight="false" outlineLevel="0" collapsed="false">
      <c r="A32" s="31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29" t="str">
        <f aca="false">IF(B32="","",COUNTIF(C32:N32,"A")+COUNTIF(C32:N32,"A/R"))</f>
        <v/>
      </c>
      <c r="P32" s="29" t="str">
        <f aca="false">IF(B32="","",COUNTIF(C32:N32,"R")+COUNTIF(C32:N32,"A/R"))</f>
        <v/>
      </c>
      <c r="Q32" s="30" t="str">
        <f aca="false">IF(B32="","",IF(AND(O32=1,P32&gt;=1),"OK","Fix"))</f>
        <v/>
      </c>
    </row>
    <row r="33" customFormat="false" ht="15" hidden="false" customHeight="false" outlineLevel="0" collapsed="false">
      <c r="A33" s="27"/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9" t="str">
        <f aca="false">IF(B33="","",COUNTIF(C33:N33,"A")+COUNTIF(C33:N33,"A/R"))</f>
        <v/>
      </c>
      <c r="P33" s="29" t="str">
        <f aca="false">IF(B33="","",COUNTIF(C33:N33,"R")+COUNTIF(C33:N33,"A/R"))</f>
        <v/>
      </c>
      <c r="Q33" s="30" t="str">
        <f aca="false">IF(B33="","",IF(AND(O33=1,P33&gt;=1),"OK","Fix"))</f>
        <v/>
      </c>
    </row>
    <row r="34" customFormat="false" ht="15" hidden="false" customHeight="false" outlineLevel="0" collapsed="false">
      <c r="A34" s="31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29" t="str">
        <f aca="false">IF(B34="","",COUNTIF(C34:N34,"A")+COUNTIF(C34:N34,"A/R"))</f>
        <v/>
      </c>
      <c r="P34" s="29" t="str">
        <f aca="false">IF(B34="","",COUNTIF(C34:N34,"R")+COUNTIF(C34:N34,"A/R"))</f>
        <v/>
      </c>
      <c r="Q34" s="30" t="str">
        <f aca="false">IF(B34="","",IF(AND(O34=1,P34&gt;=1),"OK","Fix"))</f>
        <v/>
      </c>
    </row>
    <row r="35" customFormat="false" ht="15" hidden="false" customHeight="false" outlineLevel="0" collapsed="false">
      <c r="A35" s="27"/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9" t="str">
        <f aca="false">IF(B35="","",COUNTIF(C35:N35,"A")+COUNTIF(C35:N35,"A/R"))</f>
        <v/>
      </c>
      <c r="P35" s="29" t="str">
        <f aca="false">IF(B35="","",COUNTIF(C35:N35,"R")+COUNTIF(C35:N35,"A/R"))</f>
        <v/>
      </c>
      <c r="Q35" s="30" t="str">
        <f aca="false">IF(B35="","",IF(AND(O35=1,P35&gt;=1),"OK","Fix"))</f>
        <v/>
      </c>
    </row>
    <row r="36" customFormat="false" ht="15" hidden="false" customHeight="false" outlineLevel="0" collapsed="false">
      <c r="A36" s="31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9" t="str">
        <f aca="false">IF(B36="","",COUNTIF(C36:N36,"A")+COUNTIF(C36:N36,"A/R"))</f>
        <v/>
      </c>
      <c r="P36" s="29" t="str">
        <f aca="false">IF(B36="","",COUNTIF(C36:N36,"R")+COUNTIF(C36:N36,"A/R"))</f>
        <v/>
      </c>
      <c r="Q36" s="30" t="str">
        <f aca="false">IF(B36="","",IF(AND(O36=1,P36&gt;=1),"OK","Fix"))</f>
        <v/>
      </c>
    </row>
    <row r="37" customFormat="false" ht="15" hidden="false" customHeight="false" outlineLevel="0" collapsed="false">
      <c r="A37" s="27"/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9" t="str">
        <f aca="false">IF(B37="","",COUNTIF(C37:N37,"A")+COUNTIF(C37:N37,"A/R"))</f>
        <v/>
      </c>
      <c r="P37" s="29" t="str">
        <f aca="false">IF(B37="","",COUNTIF(C37:N37,"R")+COUNTIF(C37:N37,"A/R"))</f>
        <v/>
      </c>
      <c r="Q37" s="30" t="str">
        <f aca="false">IF(B37="","",IF(AND(O37=1,P37&gt;=1),"OK","Fix"))</f>
        <v/>
      </c>
    </row>
    <row r="38" customFormat="false" ht="15" hidden="false" customHeight="false" outlineLevel="0" collapsed="false">
      <c r="A38" s="31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29" t="str">
        <f aca="false">IF(B38="","",COUNTIF(C38:N38,"A")+COUNTIF(C38:N38,"A/R"))</f>
        <v/>
      </c>
      <c r="P38" s="29" t="str">
        <f aca="false">IF(B38="","",COUNTIF(C38:N38,"R")+COUNTIF(C38:N38,"A/R"))</f>
        <v/>
      </c>
      <c r="Q38" s="30" t="str">
        <f aca="false">IF(B38="","",IF(AND(O38=1,P38&gt;=1),"OK","Fix"))</f>
        <v/>
      </c>
    </row>
    <row r="39" customFormat="false" ht="15" hidden="false" customHeight="false" outlineLevel="0" collapsed="false">
      <c r="A39" s="27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9" t="str">
        <f aca="false">IF(B39="","",COUNTIF(C39:N39,"A")+COUNTIF(C39:N39,"A/R"))</f>
        <v/>
      </c>
      <c r="P39" s="29" t="str">
        <f aca="false">IF(B39="","",COUNTIF(C39:N39,"R")+COUNTIF(C39:N39,"A/R"))</f>
        <v/>
      </c>
      <c r="Q39" s="30" t="str">
        <f aca="false">IF(B39="","",IF(AND(O39=1,P39&gt;=1),"OK","Fix"))</f>
        <v/>
      </c>
    </row>
    <row r="40" customFormat="false" ht="15" hidden="false" customHeight="false" outlineLevel="0" collapsed="false">
      <c r="A40" s="31"/>
      <c r="B40" s="31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29" t="str">
        <f aca="false">IF(B40="","",COUNTIF(C40:N40,"A")+COUNTIF(C40:N40,"A/R"))</f>
        <v/>
      </c>
      <c r="P40" s="29" t="str">
        <f aca="false">IF(B40="","",COUNTIF(C40:N40,"R")+COUNTIF(C40:N40,"A/R"))</f>
        <v/>
      </c>
      <c r="Q40" s="30" t="str">
        <f aca="false">IF(B40="","",IF(AND(O40=1,P40&gt;=1),"OK","Fix"))</f>
        <v/>
      </c>
    </row>
    <row r="41" customFormat="false" ht="15" hidden="false" customHeight="false" outlineLevel="0" collapsed="false">
      <c r="A41" s="27"/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9" t="str">
        <f aca="false">IF(B41="","",COUNTIF(C41:N41,"A")+COUNTIF(C41:N41,"A/R"))</f>
        <v/>
      </c>
      <c r="P41" s="29" t="str">
        <f aca="false">IF(B41="","",COUNTIF(C41:N41,"R")+COUNTIF(C41:N41,"A/R"))</f>
        <v/>
      </c>
      <c r="Q41" s="30" t="str">
        <f aca="false">IF(B41="","",IF(AND(O41=1,P41&gt;=1),"OK","Fix"))</f>
        <v/>
      </c>
    </row>
    <row r="42" customFormat="false" ht="15" hidden="false" customHeight="false" outlineLevel="0" collapsed="false">
      <c r="A42" s="31"/>
      <c r="B42" s="31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29" t="str">
        <f aca="false">IF(B42="","",COUNTIF(C42:N42,"A")+COUNTIF(C42:N42,"A/R"))</f>
        <v/>
      </c>
      <c r="P42" s="29" t="str">
        <f aca="false">IF(B42="","",COUNTIF(C42:N42,"R")+COUNTIF(C42:N42,"A/R"))</f>
        <v/>
      </c>
      <c r="Q42" s="30" t="str">
        <f aca="false">IF(B42="","",IF(AND(O42=1,P42&gt;=1),"OK","Fix"))</f>
        <v/>
      </c>
    </row>
    <row r="43" customFormat="false" ht="15" hidden="false" customHeight="false" outlineLevel="0" collapsed="false">
      <c r="A43" s="27"/>
      <c r="B43" s="27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9" t="str">
        <f aca="false">IF(B43="","",COUNTIF(C43:N43,"A")+COUNTIF(C43:N43,"A/R"))</f>
        <v/>
      </c>
      <c r="P43" s="29" t="str">
        <f aca="false">IF(B43="","",COUNTIF(C43:N43,"R")+COUNTIF(C43:N43,"A/R"))</f>
        <v/>
      </c>
      <c r="Q43" s="30" t="str">
        <f aca="false">IF(B43="","",IF(AND(O43=1,P43&gt;=1),"OK","Fix"))</f>
        <v/>
      </c>
    </row>
    <row r="44" customFormat="false" ht="15" hidden="false" customHeight="false" outlineLevel="0" collapsed="false">
      <c r="A44" s="31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29" t="str">
        <f aca="false">IF(B44="","",COUNTIF(C44:N44,"A")+COUNTIF(C44:N44,"A/R"))</f>
        <v/>
      </c>
      <c r="P44" s="29" t="str">
        <f aca="false">IF(B44="","",COUNTIF(C44:N44,"R")+COUNTIF(C44:N44,"A/R"))</f>
        <v/>
      </c>
      <c r="Q44" s="30" t="str">
        <f aca="false">IF(B44="","",IF(AND(O44=1,P44&gt;=1),"OK","Fix"))</f>
        <v/>
      </c>
    </row>
  </sheetData>
  <autoFilter ref="A4:Q44"/>
  <mergeCells count="2">
    <mergeCell ref="A1:Q1"/>
    <mergeCell ref="A2:Q2"/>
  </mergeCells>
  <conditionalFormatting sqref="C5:N44">
    <cfRule type="cellIs" priority="2" operator="equal" aboveAverage="0" equalAverage="0" bottom="0" percent="0" rank="0" text="" dxfId="12">
      <formula>"A"</formula>
    </cfRule>
    <cfRule type="cellIs" priority="3" operator="equal" aboveAverage="0" equalAverage="0" bottom="0" percent="0" rank="0" text="" dxfId="12">
      <formula>"A/R"</formula>
    </cfRule>
    <cfRule type="cellIs" priority="4" operator="equal" aboveAverage="0" equalAverage="0" bottom="0" percent="0" rank="0" text="" dxfId="13">
      <formula>"R"</formula>
    </cfRule>
    <cfRule type="cellIs" priority="5" operator="equal" aboveAverage="0" equalAverage="0" bottom="0" percent="0" rank="0" text="" dxfId="14">
      <formula>"C"</formula>
    </cfRule>
    <cfRule type="cellIs" priority="6" operator="equal" aboveAverage="0" equalAverage="0" bottom="0" percent="0" rank="0" text="" dxfId="15">
      <formula>"I"</formula>
    </cfRule>
  </conditionalFormatting>
  <conditionalFormatting sqref="Q5:Q44">
    <cfRule type="cellIs" priority="7" operator="equal" aboveAverage="0" equalAverage="0" bottom="0" percent="0" rank="0" text="" dxfId="16">
      <formula>"OK"</formula>
    </cfRule>
    <cfRule type="cellIs" priority="8" operator="equal" aboveAverage="0" equalAverage="0" bottom="0" percent="0" rank="0" text="" dxfId="17">
      <formula>"Fix"</formula>
    </cfRule>
  </conditionalFormatting>
  <dataValidations count="12">
    <dataValidation allowBlank="true" error="Please select a value from the list (toolkit controlled vocabulary)." errorStyle="stop" errorTitle="Invalid entry" operator="between" showDropDown="false" showErrorMessage="true" showInputMessage="false" sqref="C5:C44" type="list">
      <formula1>Lists!$A$2:$A$6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D5:D44" type="list">
      <formula1>Lists!$A$2:$A$6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E5:E44" type="list">
      <formula1>Lists!$A$2:$A$6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F5:F44" type="list">
      <formula1>Lists!$A$2:$A$6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G5:G44" type="list">
      <formula1>Lists!$A$2:$A$6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H5:H44" type="list">
      <formula1>Lists!$A$2:$A$6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I5:I44" type="list">
      <formula1>Lists!$A$2:$A$6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J5:J44" type="list">
      <formula1>Lists!$A$2:$A$6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K5:K44" type="list">
      <formula1>Lists!$A$2:$A$6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L5:L44" type="list">
      <formula1>Lists!$A$2:$A$6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M5:M44" type="list">
      <formula1>Lists!$A$2:$A$6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N5:N44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3" t="s">
        <v>128</v>
      </c>
    </row>
    <row r="2" customFormat="false" ht="15" hidden="false" customHeight="false" outlineLevel="0" collapsed="false">
      <c r="A2" s="0" t="s">
        <v>66</v>
      </c>
    </row>
    <row r="3" customFormat="false" ht="15" hidden="false" customHeight="false" outlineLevel="0" collapsed="false">
      <c r="A3" s="0" t="s">
        <v>69</v>
      </c>
    </row>
    <row r="4" customFormat="false" ht="15" hidden="false" customHeight="false" outlineLevel="0" collapsed="false">
      <c r="A4" s="0" t="s">
        <v>72</v>
      </c>
    </row>
    <row r="5" customFormat="false" ht="15" hidden="false" customHeight="false" outlineLevel="0" collapsed="false">
      <c r="A5" s="0" t="s">
        <v>75</v>
      </c>
    </row>
    <row r="6" customFormat="false" ht="15" hidden="false" customHeight="false" outlineLevel="0" collapsed="false">
      <c r="A6" s="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PMI Predictive Project Management Toolkit</cp:category>
  <dcterms:created xsi:type="dcterms:W3CDTF">2026-10-28T04:09:01Z</dcterms:created>
  <dc:creator>[Project Manager]</dc:creator>
  <dc:description/>
  <cp:keywords>PRJ-2026-001-RACI PMBOK 8</cp:keywords>
  <dc:language>en-US</dc:language>
  <cp:lastModifiedBy/>
  <dcterms:modified xsi:type="dcterms:W3CDTF">2026-10-28T04:09:01Z</dcterms:modified>
  <cp:revision>0</cp:revision>
  <dc:subject>[Project Name]</dc:subject>
  <dc:title>14 - RACI Matrix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