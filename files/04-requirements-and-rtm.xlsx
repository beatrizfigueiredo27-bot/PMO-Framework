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RTM" sheetId="3" state="visible" r:id="rId5"/>
    <sheet name="Lists" sheetId="4" state="hidden" r:id="rId6"/>
  </sheets>
  <definedNames>
    <definedName function="false" hidden="false" localSheetId="2" name="_xlnm.Print_Titles" vbProcedure="false">RTM!$4:$4</definedName>
    <definedName function="false" hidden="true" localSheetId="2" name="_xlnm._FilterDatabase" vbProcedure="false">RTM!$A$4:$Q$104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<sst xmlns="http://schemas.openxmlformats.org/spreadsheetml/2006/main" count="159" uniqueCount="133">
  <si>
    <t xml:space="preserve">[ORGANIZATION NAME]</t>
  </si>
  <si>
    <t xml:space="preserve">04 — Requirements &amp; RTM</t>
  </si>
  <si>
    <t xml:space="preserve">[Project Name]</t>
  </si>
  <si>
    <t xml:space="preserve">DOCUMENT CONTROL</t>
  </si>
  <si>
    <t xml:space="preserve">PMBOK® 8 ALIGNMENT</t>
  </si>
  <si>
    <t xml:space="preserve">Project name</t>
  </si>
  <si>
    <t xml:space="preserve">Performance domain(s)</t>
  </si>
  <si>
    <t xml:space="preserve">Scope</t>
  </si>
  <si>
    <t xml:space="preserve">Project ID</t>
  </si>
  <si>
    <t xml:space="preserve">PRJ-2026-001</t>
  </si>
  <si>
    <t xml:space="preserve">Focus area(s)</t>
  </si>
  <si>
    <t xml:space="preserve">Planning, Monitoring &amp; Controlling</t>
  </si>
  <si>
    <t xml:space="preserve">Document ID</t>
  </si>
  <si>
    <t xml:space="preserve">PRJ-2026-001-RTM</t>
  </si>
  <si>
    <t xml:space="preserve">Toolkit</t>
  </si>
  <si>
    <t xml:space="preserve">PMI Predictive Project Management Toolkit</t>
  </si>
  <si>
    <t xml:space="preserve">Document title</t>
  </si>
  <si>
    <t xml:space="preserve">Requirements &amp; RTM</t>
  </si>
  <si>
    <t xml:space="preserve">Standard</t>
  </si>
  <si>
    <t xml:space="preserve">Aligned to the PMBOK® Guide – Eighth Edition</t>
  </si>
  <si>
    <t xml:space="preserve">Version</t>
  </si>
  <si>
    <t xml:space="preserve">0.1</t>
  </si>
  <si>
    <t xml:space="preserve">Status</t>
  </si>
  <si>
    <t xml:space="preserve">Draft</t>
  </si>
  <si>
    <t xml:space="preserve">Date</t>
  </si>
  <si>
    <t xml:space="preserve">2026-10-27</t>
  </si>
  <si>
    <t xml:space="preserve">Project Sponsor</t>
  </si>
  <si>
    <t xml:space="preserve">[Project Sponsor]</t>
  </si>
  <si>
    <t xml:space="preserve">Project Manager / Owner</t>
  </si>
  <si>
    <t xml:space="preserve">[Project Manager]</t>
  </si>
  <si>
    <t xml:space="preserve">Approver</t>
  </si>
  <si>
    <t xml:space="preserve">Business Owner</t>
  </si>
  <si>
    <t xml:space="preserve">Classification</t>
  </si>
  <si>
    <t xml:space="preserve">Internal</t>
  </si>
  <si>
    <t xml:space="preserve">Currency</t>
  </si>
  <si>
    <t xml:space="preserve">CAD</t>
  </si>
  <si>
    <t xml:space="preserve">File location</t>
  </si>
  <si>
    <t xml:space="preserve">[SharePoint / repository path]</t>
  </si>
  <si>
    <t xml:space="preserve">REVISION HISTORY</t>
  </si>
  <si>
    <t xml:space="preserve">Author</t>
  </si>
  <si>
    <t xml:space="preserve">Description of change</t>
  </si>
  <si>
    <t xml:space="preserve">CR ref.</t>
  </si>
  <si>
    <t xml:space="preserve">Approved by</t>
  </si>
  <si>
    <t xml:space="preserve">Initial draft created from toolkit template</t>
  </si>
  <si>
    <t xml:space="preserve">N/A</t>
  </si>
  <si>
    <t xml:space="preserve">VERSIONING SCHEME</t>
  </si>
  <si>
    <t xml:space="preserve">0.1 - 0.9</t>
  </si>
  <si>
    <t xml:space="preserve">Work in progress. Increment the minor digit for each review cycle (0.1, 0.2 ...).</t>
  </si>
  <si>
    <t xml:space="preserve">1.0</t>
  </si>
  <si>
    <t xml:space="preserve">Approved / Baselined</t>
  </si>
  <si>
    <t xml:space="preserve">First version formally approved by the designated approver. Becomes the baseline.</t>
  </si>
  <si>
    <t xml:space="preserve">1.1, 1.2 ...</t>
  </si>
  <si>
    <t xml:space="preserve">Minor revision</t>
  </si>
  <si>
    <t xml:space="preserve">Editorial or clarifying change with NO impact on scope, schedule or cost baselines. PM approval.</t>
  </si>
  <si>
    <t xml:space="preserve">2.0, 3.0 ...</t>
  </si>
  <si>
    <t xml:space="preserve">Major revision</t>
  </si>
  <si>
    <t xml:space="preserve">Change that alters a baseline. Requires an approved Change Request (doc 20) logged in the Change Log (doc 21).</t>
  </si>
  <si>
    <t xml:space="preserve">HOW TO USE THIS WORKBOOK</t>
  </si>
  <si>
    <t xml:space="preserve">1. Record every requirement with a unique ID (REQ-###) and a single, testable statement.</t>
  </si>
  <si>
    <t xml:space="preserve">2. Trace each requirement forward to WBS (doc 05), deliverable and test case; 'Trace complete' turns Yes when all three are filled.</t>
  </si>
  <si>
    <t xml:space="preserve">3. After baselining, new or changed requirements require a Change Request (doc 20).</t>
  </si>
  <si>
    <t xml:space="preserve">4. Navy column headers = input columns (shaded rows are for data entry). Teal headers marked ƒ = calculated columns — do not overwrite.</t>
  </si>
  <si>
    <t xml:space="preserve">5. Drop-down lists enforce the toolkit's controlled vocabulary. Rows shown in grey italics are examples — overwrite or delete them.</t>
  </si>
  <si>
    <t xml:space="preserve">6. Update the Version/Status/Date above and add a Revision History row each time the workbook is re-issued.</t>
  </si>
  <si>
    <t xml:space="preserve">04 — Requirements &amp; RTM  |  Summary</t>
  </si>
  <si>
    <t xml:space="preserve">[Project Name]   •   PRJ-2026-001-RTM   •   v0.1 Draft   •   Internal</t>
  </si>
  <si>
    <t xml:space="preserve">Requirements by status</t>
  </si>
  <si>
    <t xml:space="preserve">Requirements by priority</t>
  </si>
  <si>
    <t xml:space="preserve">Item</t>
  </si>
  <si>
    <t xml:space="preserve">Count</t>
  </si>
  <si>
    <t xml:space="preserve">Proposed</t>
  </si>
  <si>
    <t xml:space="preserve">Must</t>
  </si>
  <si>
    <t xml:space="preserve">Approved</t>
  </si>
  <si>
    <t xml:space="preserve">Should</t>
  </si>
  <si>
    <t xml:space="preserve">In build</t>
  </si>
  <si>
    <t xml:space="preserve">Could</t>
  </si>
  <si>
    <t xml:space="preserve">Verified</t>
  </si>
  <si>
    <t xml:space="preserve">Won't</t>
  </si>
  <si>
    <t xml:space="preserve">Accepted</t>
  </si>
  <si>
    <t xml:space="preserve">Deferred</t>
  </si>
  <si>
    <t xml:space="preserve">Rejected</t>
  </si>
  <si>
    <t xml:space="preserve">Total requirements</t>
  </si>
  <si>
    <t xml:space="preserve">Traceability &amp; test coverage</t>
  </si>
  <si>
    <t xml:space="preserve">Metric</t>
  </si>
  <si>
    <t xml:space="preserve">Value</t>
  </si>
  <si>
    <t xml:space="preserve">Fully traced (WBS, deliverable, test)</t>
  </si>
  <si>
    <t xml:space="preserve">Traceability %</t>
  </si>
  <si>
    <t xml:space="preserve">Tests passed</t>
  </si>
  <si>
    <t xml:space="preserve">Tests failed</t>
  </si>
  <si>
    <t xml:space="preserve">Test pass rate (of executed)</t>
  </si>
  <si>
    <t xml:space="preserve">04 — Requirements &amp; RTM  |  RTM</t>
  </si>
  <si>
    <t xml:space="preserve">Req ID</t>
  </si>
  <si>
    <t xml:space="preserve">Requirement statement</t>
  </si>
  <si>
    <t xml:space="preserve">Type</t>
  </si>
  <si>
    <t xml:space="preserve">Source / stakeholder</t>
  </si>
  <si>
    <t xml:space="preserve">Business objective (Charter ref.)</t>
  </si>
  <si>
    <t xml:space="preserve">Priority (MoSCoW)</t>
  </si>
  <si>
    <t xml:space="preserve">Acceptance criteria</t>
  </si>
  <si>
    <t xml:space="preserve">WBS ID</t>
  </si>
  <si>
    <t xml:space="preserve">Deliverable</t>
  </si>
  <si>
    <t xml:space="preserve">Design / spec ref.</t>
  </si>
  <si>
    <t xml:space="preserve">Test case ID</t>
  </si>
  <si>
    <t xml:space="preserve">Test status</t>
  </si>
  <si>
    <t xml:space="preserve">Owner</t>
  </si>
  <si>
    <t xml:space="preserve">Requirement status</t>
  </si>
  <si>
    <t xml:space="preserve">Date raised</t>
  </si>
  <si>
    <t xml:space="preserve">Comments</t>
  </si>
  <si>
    <t xml:space="preserve">ƒ Trace complete</t>
  </si>
  <si>
    <t xml:space="preserve">REQ-001</t>
  </si>
  <si>
    <t xml:space="preserve">The system shall allow authorized users to export the monthly report to PDF.</t>
  </si>
  <si>
    <t xml:space="preserve">Functional</t>
  </si>
  <si>
    <t xml:space="preserve">Finance Manager</t>
  </si>
  <si>
    <t xml:space="preserve">O1</t>
  </si>
  <si>
    <t xml:space="preserve">Export completes &lt; 10 s; PDF matches on-screen layout</t>
  </si>
  <si>
    <t xml:space="preserve">3.2.1</t>
  </si>
  <si>
    <t xml:space="preserve">Reporting module</t>
  </si>
  <si>
    <t xml:space="preserve">SPEC-04</t>
  </si>
  <si>
    <t xml:space="preserve">TC-012</t>
  </si>
  <si>
    <t xml:space="preserve">Not run</t>
  </si>
  <si>
    <t xml:space="preserve">[BA]</t>
  </si>
  <si>
    <t xml:space="preserve">ReqType</t>
  </si>
  <si>
    <t xml:space="preserve">MoSCoW</t>
  </si>
  <si>
    <t xml:space="preserve">TestStatus</t>
  </si>
  <si>
    <t xml:space="preserve">ReqStatus</t>
  </si>
  <si>
    <t xml:space="preserve">Business</t>
  </si>
  <si>
    <t xml:space="preserve">Stakeholder</t>
  </si>
  <si>
    <t xml:space="preserve">Pass</t>
  </si>
  <si>
    <t xml:space="preserve">Fail</t>
  </si>
  <si>
    <t xml:space="preserve">Non-functional</t>
  </si>
  <si>
    <t xml:space="preserve">Blocked</t>
  </si>
  <si>
    <t xml:space="preserve">Transition</t>
  </si>
  <si>
    <t xml:space="preserve">Project</t>
  </si>
  <si>
    <t xml:space="preserve">Regulatory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</si>
</sst>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yyyy\-mm\-dd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9FD3D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3807E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sz val="10"/>
      <color rgb="FF6B7785"/>
      <name val="Calibri"/>
      <family val="0"/>
      <charset val="1"/>
    </font>
    <font>
      <sz val="9"/>
      <color rgb="FF1E2A36"/>
      <name val="Calibri"/>
      <family val="0"/>
      <charset val="1"/>
    </font>
    <font>
      <sz val="10"/>
      <color rgb="FF1E2A3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E2A36"/>
      <name val="Calibri"/>
      <family val="0"/>
      <charset val="1"/>
    </font>
    <font>
      <sz val="9"/>
      <color rgb="FF6B7785"/>
      <name val="Calibri"/>
      <family val="0"/>
      <charset val="1"/>
    </font>
    <font>
      <sz val="9.5"/>
      <color rgb="FF1E2A36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DCE8F2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i val="true"/>
      <sz val="9.5"/>
      <color rgb="FF6B7785"/>
      <name val="Calibri"/>
      <family val="0"/>
      <charset val="1"/>
    </font>
    <font>
      <b val="true"/>
      <sz val="10"/>
      <color rgb="FF1E2A36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1E2A36"/>
      </patternFill>
    </fill>
    <fill>
      <patternFill patternType="solid">
        <fgColor rgb="FFDCE8F2"/>
        <bgColor rgb="FFD5EFDF"/>
      </patternFill>
    </fill>
    <fill>
      <patternFill patternType="solid">
        <fgColor rgb="FFF3F6F9"/>
        <bgColor rgb="FFEAF2F2"/>
      </patternFill>
    </fill>
    <fill>
      <patternFill patternType="solid">
        <fgColor rgb="FFEAF2F2"/>
        <bgColor rgb="FFF3F6F9"/>
      </patternFill>
    </fill>
    <fill>
      <patternFill patternType="solid">
        <fgColor rgb="FF13807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A36"/>
          <bgColor rgb="FF000000"/>
        </patternFill>
      </fill>
    </dxf>
    <dxf>
      <fill>
        <patternFill patternType="solid">
          <fgColor rgb="FF6B778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3807E"/>
          <bgColor rgb="FF000000"/>
        </patternFill>
      </fill>
    </dxf>
    <dxf>
      <fill>
        <patternFill patternType="solid">
          <fgColor rgb="FFD5EFDF"/>
          <bgColor rgb="FF000000"/>
        </patternFill>
      </fill>
    </dxf>
    <dxf>
      <fill>
        <patternFill patternType="solid">
          <fgColor rgb="FFEAF2F2"/>
          <bgColor rgb="FF000000"/>
        </patternFill>
      </fill>
    </dxf>
    <dxf>
      <fill>
        <patternFill patternType="solid">
          <fgColor rgb="FF2E8B57"/>
          <bgColor rgb="FF000000"/>
        </patternFill>
      </fill>
    </dxf>
    <dxf>
      <font>
        <name val="Calibri"/>
        <charset val="1"/>
        <family val="0"/>
        <b val="1"/>
        <color rgb="FF2E8B57"/>
      </font>
      <fill>
        <patternFill>
          <bgColor rgb="FFD5EFDF"/>
        </patternFill>
      </fill>
    </dxf>
    <dxf>
      <font>
        <name val="Calibri"/>
        <charset val="1"/>
        <family val="0"/>
        <b val="1"/>
        <color rgb="FFC0392B"/>
      </font>
      <fill>
        <patternFill>
          <bgColor rgb="FFF6D5D1"/>
        </patternFill>
      </fill>
    </dxf>
    <dxf>
      <font>
        <name val="Calibri"/>
        <charset val="1"/>
        <family val="0"/>
        <b val="1"/>
        <color rgb="FF8A6200"/>
      </font>
      <fill>
        <patternFill>
          <bgColor rgb="FFFCEF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200"/>
      <rgbColor rgb="FF800080"/>
      <rgbColor rgb="FF13807E"/>
      <rgbColor rgb="FFB8C4D0"/>
      <rgbColor rgb="FF6B7785"/>
      <rgbColor rgb="FF9999FF"/>
      <rgbColor rgb="FF993366"/>
      <rgbColor rgb="FFFCEFC7"/>
      <rgbColor rgb="FFEA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2"/>
      <rgbColor rgb="FFD5EFDF"/>
      <rgbColor rgb="FFF3F6F9"/>
      <rgbColor rgb="FF9FD3D1"/>
      <rgbColor rgb="FFFF99CC"/>
      <rgbColor rgb="FFCC99FF"/>
      <rgbColor rgb="FFF6D5D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2E8B57"/>
      <rgbColor rgb="FF003300"/>
      <rgbColor rgb="FF333300"/>
      <rgbColor rgb="FFC0392B"/>
      <rgbColor rgb="FF993366"/>
      <rgbColor rgb="FF333399"/>
      <rgbColor rgb="FF1E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</cols>
  <sheetData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1.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3</v>
      </c>
      <c r="E6" s="4" t="s">
        <v>4</v>
      </c>
    </row>
    <row r="7" customFormat="false" ht="27.75" hidden="false" customHeight="true" outlineLevel="0" collapsed="false">
      <c r="B7" s="5" t="s">
        <v>5</v>
      </c>
      <c r="C7" s="6" t="s">
        <v>2</v>
      </c>
      <c r="D7" s="6"/>
      <c r="E7" s="5" t="s">
        <v>6</v>
      </c>
      <c r="F7" s="7" t="s">
        <v>7</v>
      </c>
      <c r="G7" s="7"/>
    </row>
    <row r="8" customFormat="false" ht="27.75" hidden="false" customHeight="true" outlineLevel="0" collapsed="false">
      <c r="B8" s="5" t="s">
        <v>8</v>
      </c>
      <c r="C8" s="8" t="s">
        <v>9</v>
      </c>
      <c r="D8" s="8"/>
      <c r="E8" s="5" t="s">
        <v>10</v>
      </c>
      <c r="F8" s="7" t="s">
        <v>11</v>
      </c>
      <c r="G8" s="7"/>
    </row>
    <row r="9" customFormat="false" ht="27.75" hidden="false" customHeight="true" outlineLevel="0" collapsed="false">
      <c r="B9" s="5" t="s">
        <v>12</v>
      </c>
      <c r="C9" s="8" t="s">
        <v>13</v>
      </c>
      <c r="D9" s="8"/>
      <c r="E9" s="5" t="s">
        <v>14</v>
      </c>
      <c r="F9" s="7" t="s">
        <v>15</v>
      </c>
      <c r="G9" s="7"/>
    </row>
    <row r="10" customFormat="false" ht="27.75" hidden="false" customHeight="true" outlineLevel="0" collapsed="false">
      <c r="B10" s="5" t="s">
        <v>16</v>
      </c>
      <c r="C10" s="8" t="s">
        <v>17</v>
      </c>
      <c r="D10" s="8"/>
      <c r="E10" s="5" t="s">
        <v>18</v>
      </c>
      <c r="F10" s="7" t="s">
        <v>19</v>
      </c>
      <c r="G10" s="7"/>
    </row>
    <row r="11" customFormat="false" ht="15" hidden="false" customHeight="false" outlineLevel="0" collapsed="false">
      <c r="B11" s="5" t="s">
        <v>20</v>
      </c>
      <c r="C11" s="8" t="s">
        <v>21</v>
      </c>
      <c r="D11" s="8"/>
    </row>
    <row r="12" customFormat="false" ht="15" hidden="false" customHeight="false" outlineLevel="0" collapsed="false">
      <c r="B12" s="5" t="s">
        <v>22</v>
      </c>
      <c r="C12" s="8" t="s">
        <v>23</v>
      </c>
      <c r="D12" s="8"/>
    </row>
    <row r="13" customFormat="false" ht="15" hidden="false" customHeight="false" outlineLevel="0" collapsed="false">
      <c r="B13" s="5" t="s">
        <v>24</v>
      </c>
      <c r="C13" s="8" t="s">
        <v>25</v>
      </c>
      <c r="D13" s="8"/>
    </row>
    <row r="14" customFormat="false" ht="15" hidden="false" customHeight="false" outlineLevel="0" collapsed="false">
      <c r="B14" s="5" t="s">
        <v>26</v>
      </c>
      <c r="C14" s="6" t="s">
        <v>27</v>
      </c>
      <c r="D14" s="6"/>
    </row>
    <row r="15" customFormat="false" ht="15" hidden="false" customHeight="false" outlineLevel="0" collapsed="false">
      <c r="B15" s="5" t="s">
        <v>28</v>
      </c>
      <c r="C15" s="6" t="s">
        <v>29</v>
      </c>
      <c r="D15" s="6"/>
    </row>
    <row r="16" customFormat="false" ht="15" hidden="false" customHeight="false" outlineLevel="0" collapsed="false">
      <c r="B16" s="5" t="s">
        <v>30</v>
      </c>
      <c r="C16" s="8" t="s">
        <v>31</v>
      </c>
      <c r="D16" s="8"/>
    </row>
    <row r="17" customFormat="false" ht="15" hidden="false" customHeight="false" outlineLevel="0" collapsed="false">
      <c r="B17" s="5" t="s">
        <v>32</v>
      </c>
      <c r="C17" s="8" t="s">
        <v>33</v>
      </c>
      <c r="D17" s="8"/>
    </row>
    <row r="18" customFormat="false" ht="15" hidden="false" customHeight="false" outlineLevel="0" collapsed="false">
      <c r="B18" s="5" t="s">
        <v>34</v>
      </c>
      <c r="C18" s="8" t="s">
        <v>35</v>
      </c>
      <c r="D18" s="8"/>
    </row>
    <row r="19" customFormat="false" ht="15" hidden="false" customHeight="false" outlineLevel="0" collapsed="false">
      <c r="B19" s="5" t="s">
        <v>36</v>
      </c>
      <c r="C19" s="6" t="s">
        <v>37</v>
      </c>
      <c r="D19" s="6"/>
    </row>
    <row r="22" customFormat="false" ht="15" hidden="false" customHeight="false" outlineLevel="0" collapsed="false">
      <c r="B22" s="4" t="s">
        <v>38</v>
      </c>
    </row>
    <row r="23" customFormat="false" ht="15" hidden="false" customHeight="false" outlineLevel="0" collapsed="false">
      <c r="B23" s="9" t="s">
        <v>20</v>
      </c>
      <c r="C23" s="9" t="s">
        <v>24</v>
      </c>
      <c r="D23" s="9" t="s">
        <v>39</v>
      </c>
      <c r="E23" s="9" t="s">
        <v>40</v>
      </c>
      <c r="F23" s="9" t="s">
        <v>41</v>
      </c>
      <c r="G23" s="9" t="s">
        <v>42</v>
      </c>
    </row>
    <row r="24" customFormat="false" ht="15" hidden="false" customHeight="false" outlineLevel="0" collapsed="false">
      <c r="B24" s="10" t="s">
        <v>21</v>
      </c>
      <c r="C24" s="10" t="s">
        <v>25</v>
      </c>
      <c r="D24" s="10" t="s">
        <v>29</v>
      </c>
      <c r="E24" s="10" t="s">
        <v>43</v>
      </c>
      <c r="F24" s="10" t="s">
        <v>44</v>
      </c>
      <c r="G24" s="10"/>
    </row>
    <row r="25" customFormat="false" ht="15" hidden="false" customHeight="false" outlineLevel="0" collapsed="false"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B28" s="10"/>
      <c r="C28" s="10"/>
      <c r="D28" s="10"/>
      <c r="E28" s="10"/>
      <c r="F28" s="10"/>
      <c r="G28" s="10"/>
    </row>
    <row r="30" customFormat="false" ht="15" hidden="false" customHeight="false" outlineLevel="0" collapsed="false">
      <c r="B30" s="4" t="s">
        <v>45</v>
      </c>
    </row>
    <row r="31" customFormat="false" ht="25.5" hidden="false" customHeight="true" outlineLevel="0" collapsed="false">
      <c r="B31" s="12" t="s">
        <v>46</v>
      </c>
      <c r="C31" s="13" t="s">
        <v>23</v>
      </c>
      <c r="D31" s="14" t="s">
        <v>47</v>
      </c>
      <c r="E31" s="14"/>
      <c r="F31" s="14"/>
      <c r="G31" s="14"/>
    </row>
    <row r="32" customFormat="false" ht="25.5" hidden="false" customHeight="true" outlineLevel="0" collapsed="false">
      <c r="B32" s="12" t="s">
        <v>48</v>
      </c>
      <c r="C32" s="13" t="s">
        <v>49</v>
      </c>
      <c r="D32" s="14" t="s">
        <v>50</v>
      </c>
      <c r="E32" s="14"/>
      <c r="F32" s="14"/>
      <c r="G32" s="14"/>
    </row>
    <row r="33" customFormat="false" ht="25.5" hidden="false" customHeight="true" outlineLevel="0" collapsed="false">
      <c r="B33" s="12" t="s">
        <v>51</v>
      </c>
      <c r="C33" s="13" t="s">
        <v>52</v>
      </c>
      <c r="D33" s="14" t="s">
        <v>53</v>
      </c>
      <c r="E33" s="14"/>
      <c r="F33" s="14"/>
      <c r="G33" s="14"/>
    </row>
    <row r="34" customFormat="false" ht="25.5" hidden="false" customHeight="true" outlineLevel="0" collapsed="false">
      <c r="B34" s="12" t="s">
        <v>54</v>
      </c>
      <c r="C34" s="13" t="s">
        <v>55</v>
      </c>
      <c r="D34" s="14" t="s">
        <v>56</v>
      </c>
      <c r="E34" s="14"/>
      <c r="F34" s="14"/>
      <c r="G34" s="14"/>
    </row>
    <row r="36" customFormat="false" ht="15" hidden="false" customHeight="false" outlineLevel="0" collapsed="false">
      <c r="B36" s="4" t="s">
        <v>57</v>
      </c>
    </row>
    <row r="37" customFormat="false" ht="30" hidden="false" customHeight="true" outlineLevel="0" collapsed="false">
      <c r="B37" s="15" t="s">
        <v>58</v>
      </c>
      <c r="C37" s="15"/>
      <c r="D37" s="15"/>
      <c r="E37" s="15"/>
      <c r="F37" s="15"/>
      <c r="G37" s="15"/>
    </row>
    <row r="38" customFormat="false" ht="30" hidden="false" customHeight="true" outlineLevel="0" collapsed="false">
      <c r="B38" s="15" t="s">
        <v>59</v>
      </c>
      <c r="C38" s="15"/>
      <c r="D38" s="15"/>
      <c r="E38" s="15"/>
      <c r="F38" s="15"/>
      <c r="G38" s="15"/>
    </row>
    <row r="39" customFormat="false" ht="30" hidden="false" customHeight="true" outlineLevel="0" collapsed="false">
      <c r="B39" s="15" t="s">
        <v>60</v>
      </c>
      <c r="C39" s="15"/>
      <c r="D39" s="15"/>
      <c r="E39" s="15"/>
      <c r="F39" s="15"/>
      <c r="G39" s="15"/>
    </row>
    <row r="40" customFormat="false" ht="30" hidden="false" customHeight="true" outlineLevel="0" collapsed="false">
      <c r="B40" s="15" t="s">
        <v>61</v>
      </c>
      <c r="C40" s="15"/>
      <c r="D40" s="15"/>
      <c r="E40" s="15"/>
      <c r="F40" s="15"/>
      <c r="G40" s="15"/>
    </row>
    <row r="41" customFormat="false" ht="30" hidden="false" customHeight="true" outlineLevel="0" collapsed="false">
      <c r="B41" s="15" t="s">
        <v>62</v>
      </c>
      <c r="C41" s="15"/>
      <c r="D41" s="15"/>
      <c r="E41" s="15"/>
      <c r="F41" s="15"/>
      <c r="G41" s="15"/>
    </row>
    <row r="42" customFormat="false" ht="30" hidden="false" customHeight="true" outlineLevel="0" collapsed="false">
      <c r="B42" s="15" t="s">
        <v>63</v>
      </c>
      <c r="C42" s="15"/>
      <c r="D42" s="15"/>
      <c r="E42" s="15"/>
      <c r="F42" s="15"/>
      <c r="G42" s="15"/>
    </row>
  </sheetData>
  <mergeCells count="30">
    <mergeCell ref="B2:G2"/>
    <mergeCell ref="B3:G3"/>
    <mergeCell ref="B4:G4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D31:G31"/>
    <mergeCell ref="D32:G32"/>
    <mergeCell ref="D33:G33"/>
    <mergeCell ref="D34:G34"/>
    <mergeCell ref="B37:G37"/>
    <mergeCell ref="B38:G38"/>
    <mergeCell ref="B39:G39"/>
    <mergeCell ref="B40:G40"/>
    <mergeCell ref="B41:G41"/>
    <mergeCell ref="B42:G42"/>
  </mergeCells>
  <dataValidations count="2">
    <dataValidation allowBlank="true" errorStyle="stop" operator="between" showDropDown="false" showErrorMessage="false" showInputMessage="false" sqref="C12" type="list">
      <formula1>"Draft,In Review,Approved,Baselined,Superseded,Archived"</formula1>
      <formula2>0</formula2>
    </dataValidation>
    <dataValidation allowBlank="true" errorStyle="stop" operator="between" showDropDown="false" showErrorMessage="false" showInputMessage="false" sqref="C17" type="list">
      <formula1>"Public,Internal,Confidential,Restricted"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4"/>
  </cols>
  <sheetData>
    <row r="1" customFormat="false" ht="25.5" hidden="false" customHeight="true" outlineLevel="0" collapsed="false">
      <c r="A1" s="16" t="s">
        <v>64</v>
      </c>
      <c r="B1" s="16"/>
      <c r="C1" s="16"/>
      <c r="D1" s="16"/>
      <c r="E1" s="16"/>
      <c r="F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</row>
    <row r="3" customFormat="false" ht="6" hidden="false" customHeight="true" outlineLevel="0" collapsed="false"/>
    <row r="4" customFormat="false" ht="15" hidden="false" customHeight="false" outlineLevel="0" collapsed="false">
      <c r="B4" s="18" t="s">
        <v>66</v>
      </c>
      <c r="E4" s="18" t="s">
        <v>67</v>
      </c>
    </row>
    <row r="5" customFormat="false" ht="15" hidden="false" customHeight="false" outlineLevel="0" collapsed="false">
      <c r="B5" s="9" t="s">
        <v>68</v>
      </c>
      <c r="C5" s="9" t="s">
        <v>69</v>
      </c>
      <c r="E5" s="9" t="s">
        <v>68</v>
      </c>
      <c r="F5" s="9" t="s">
        <v>69</v>
      </c>
    </row>
    <row r="6" customFormat="false" ht="15" hidden="false" customHeight="false" outlineLevel="0" collapsed="false">
      <c r="B6" s="19" t="s">
        <v>70</v>
      </c>
      <c r="C6" s="20" t="n">
        <f aca="false">COUNTIF(RTM!$N$5:$N$104,"Proposed")</f>
        <v>0</v>
      </c>
      <c r="E6" s="19" t="s">
        <v>71</v>
      </c>
      <c r="F6" s="20" t="n">
        <f aca="false">COUNTIF(RTM!$F$5:$F$104,"Must")</f>
        <v>1</v>
      </c>
    </row>
    <row r="7" customFormat="false" ht="15" hidden="false" customHeight="false" outlineLevel="0" collapsed="false">
      <c r="B7" s="19" t="s">
        <v>72</v>
      </c>
      <c r="C7" s="20" t="n">
        <f aca="false">COUNTIF(RTM!$N$5:$N$104,"Approved")</f>
        <v>1</v>
      </c>
      <c r="E7" s="19" t="s">
        <v>73</v>
      </c>
      <c r="F7" s="20" t="n">
        <f aca="false">COUNTIF(RTM!$F$5:$F$104,"Should")</f>
        <v>0</v>
      </c>
    </row>
    <row r="8" customFormat="false" ht="15" hidden="false" customHeight="false" outlineLevel="0" collapsed="false">
      <c r="B8" s="19" t="s">
        <v>74</v>
      </c>
      <c r="C8" s="20" t="n">
        <f aca="false">COUNTIF(RTM!$N$5:$N$104,"In build")</f>
        <v>0</v>
      </c>
      <c r="E8" s="19" t="s">
        <v>75</v>
      </c>
      <c r="F8" s="20" t="n">
        <f aca="false">COUNTIF(RTM!$F$5:$F$104,"Could")</f>
        <v>0</v>
      </c>
    </row>
    <row r="9" customFormat="false" ht="15" hidden="false" customHeight="false" outlineLevel="0" collapsed="false">
      <c r="B9" s="19" t="s">
        <v>76</v>
      </c>
      <c r="C9" s="20" t="n">
        <f aca="false">COUNTIF(RTM!$N$5:$N$104,"Verified")</f>
        <v>0</v>
      </c>
      <c r="E9" s="19" t="s">
        <v>77</v>
      </c>
      <c r="F9" s="20" t="n">
        <f aca="false">COUNTIF(RTM!$F$5:$F$104,"Won't")</f>
        <v>0</v>
      </c>
    </row>
    <row r="10" customFormat="false" ht="15" hidden="false" customHeight="false" outlineLevel="0" collapsed="false">
      <c r="B10" s="19" t="s">
        <v>78</v>
      </c>
      <c r="C10" s="20" t="n">
        <f aca="false">COUNTIF(RTM!$N$5:$N$104,"Accepted")</f>
        <v>0</v>
      </c>
    </row>
    <row r="11" customFormat="false" ht="15" hidden="false" customHeight="false" outlineLevel="0" collapsed="false">
      <c r="B11" s="19" t="s">
        <v>79</v>
      </c>
      <c r="C11" s="20" t="n">
        <f aca="false">COUNTIF(RTM!$N$5:$N$104,"Deferred")</f>
        <v>0</v>
      </c>
    </row>
    <row r="12" customFormat="false" ht="15" hidden="false" customHeight="false" outlineLevel="0" collapsed="false">
      <c r="B12" s="19" t="s">
        <v>80</v>
      </c>
      <c r="C12" s="20" t="n">
        <f aca="false">COUNTIF(RTM!$N$5:$N$104,"Rejected")</f>
        <v>0</v>
      </c>
    </row>
    <row r="13" customFormat="false" ht="15" hidden="false" customHeight="false" outlineLevel="0" collapsed="false">
      <c r="B13" s="19" t="s">
        <v>81</v>
      </c>
      <c r="C13" s="20" t="n">
        <f aca="false">COUNTA(RTM!$A$5:$A$104)</f>
        <v>1</v>
      </c>
    </row>
    <row r="15" customFormat="false" ht="15" hidden="false" customHeight="false" outlineLevel="0" collapsed="false">
      <c r="B15" s="18" t="s">
        <v>82</v>
      </c>
    </row>
    <row r="16" customFormat="false" ht="15" hidden="false" customHeight="false" outlineLevel="0" collapsed="false">
      <c r="B16" s="9" t="s">
        <v>83</v>
      </c>
      <c r="C16" s="9" t="s">
        <v>84</v>
      </c>
    </row>
    <row r="17" customFormat="false" ht="15" hidden="false" customHeight="false" outlineLevel="0" collapsed="false">
      <c r="B17" s="19" t="s">
        <v>85</v>
      </c>
      <c r="C17" s="20" t="n">
        <f aca="false">COUNTIF(RTM!$Q$5:$Q$104,"Yes")</f>
        <v>1</v>
      </c>
    </row>
    <row r="18" customFormat="false" ht="15" hidden="false" customHeight="false" outlineLevel="0" collapsed="false">
      <c r="B18" s="19" t="s">
        <v>86</v>
      </c>
      <c r="C18" s="21" t="n">
        <f aca="false">IFERROR(COUNTIF(RTM!$Q$5:$Q$104,"Yes")/COUNTA(RTM!$A$5:$A$104),0)</f>
        <v>1</v>
      </c>
    </row>
    <row r="19" customFormat="false" ht="15" hidden="false" customHeight="false" outlineLevel="0" collapsed="false">
      <c r="B19" s="19" t="s">
        <v>87</v>
      </c>
      <c r="C19" s="20" t="n">
        <f aca="false">COUNTIF(RTM!$L$5:$L$104,"Pass")</f>
        <v>0</v>
      </c>
    </row>
    <row r="20" customFormat="false" ht="15" hidden="false" customHeight="false" outlineLevel="0" collapsed="false">
      <c r="B20" s="19" t="s">
        <v>88</v>
      </c>
      <c r="C20" s="20" t="n">
        <f aca="false">COUNTIF(RTM!$L$5:$L$104,"Fail")</f>
        <v>0</v>
      </c>
    </row>
    <row r="21" customFormat="false" ht="15" hidden="false" customHeight="false" outlineLevel="0" collapsed="false">
      <c r="B21" s="19" t="s">
        <v>89</v>
      </c>
      <c r="C21" s="21" t="n">
        <f aca="false">IFERROR(COUNTIF(RTM!$L$5:$L$104,"Pass")/(COUNTIF(RTM!$L$5:$L$104,"Pass")+COUNTIF(RTM!$L$5:$L$104,"Fail")),0)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807E"/>
    <pageSetUpPr fitToPage="true"/>
  </sheetPr>
  <dimension ref="A1:Q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4" min="13" style="0" width="14"/>
    <col collapsed="false" customWidth="true" hidden="false" outlineLevel="0" max="15" min="15" style="0" width="12"/>
    <col collapsed="false" customWidth="true" hidden="false" outlineLevel="0" max="16" min="16" style="0" width="24"/>
    <col collapsed="false" customWidth="true" hidden="false" outlineLevel="0" max="17" min="17" style="0" width="10"/>
  </cols>
  <sheetData>
    <row r="1" customFormat="false" ht="25.5" hidden="false" customHeight="true" outlineLevel="0" collapsed="false">
      <c r="A1" s="16" t="s">
        <v>90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customFormat="false" ht="6" hidden="false" customHeight="true" outlineLevel="0" collapsed="false"/>
    <row r="4" customFormat="false" ht="33.75" hidden="false" customHeight="true" outlineLevel="0" collapsed="false">
      <c r="A4" s="22" t="s">
        <v>91</v>
      </c>
      <c r="B4" s="22" t="s">
        <v>92</v>
      </c>
      <c r="C4" s="22" t="s">
        <v>93</v>
      </c>
      <c r="D4" s="22" t="s">
        <v>94</v>
      </c>
      <c r="E4" s="22" t="s">
        <v>95</v>
      </c>
      <c r="F4" s="22" t="s">
        <v>96</v>
      </c>
      <c r="G4" s="22" t="s">
        <v>97</v>
      </c>
      <c r="H4" s="22" t="s">
        <v>98</v>
      </c>
      <c r="I4" s="22" t="s">
        <v>99</v>
      </c>
      <c r="J4" s="22" t="s">
        <v>100</v>
      </c>
      <c r="K4" s="22" t="s">
        <v>101</v>
      </c>
      <c r="L4" s="22" t="s">
        <v>102</v>
      </c>
      <c r="M4" s="22" t="s">
        <v>103</v>
      </c>
      <c r="N4" s="22" t="s">
        <v>104</v>
      </c>
      <c r="O4" s="22" t="s">
        <v>105</v>
      </c>
      <c r="P4" s="22" t="s">
        <v>106</v>
      </c>
      <c r="Q4" s="23" t="s">
        <v>107</v>
      </c>
    </row>
    <row r="5" customFormat="false" ht="23.85" hidden="false" customHeight="false" outlineLevel="0" collapsed="false">
      <c r="A5" s="24" t="s">
        <v>108</v>
      </c>
      <c r="B5" s="24" t="s">
        <v>109</v>
      </c>
      <c r="C5" s="24" t="s">
        <v>110</v>
      </c>
      <c r="D5" s="24" t="s">
        <v>111</v>
      </c>
      <c r="E5" s="24" t="s">
        <v>112</v>
      </c>
      <c r="F5" s="24" t="s">
        <v>71</v>
      </c>
      <c r="G5" s="24" t="s">
        <v>113</v>
      </c>
      <c r="H5" s="24" t="s">
        <v>114</v>
      </c>
      <c r="I5" s="24" t="s">
        <v>115</v>
      </c>
      <c r="J5" s="24" t="s">
        <v>116</v>
      </c>
      <c r="K5" s="24" t="s">
        <v>117</v>
      </c>
      <c r="L5" s="24" t="s">
        <v>118</v>
      </c>
      <c r="M5" s="24" t="s">
        <v>119</v>
      </c>
      <c r="N5" s="24" t="s">
        <v>72</v>
      </c>
      <c r="O5" s="25" t="n">
        <v>46315</v>
      </c>
      <c r="P5" s="24"/>
      <c r="Q5" s="26" t="str">
        <f aca="false">IF(A5="","",IF(AND(H5&lt;&gt;"",I5&lt;&gt;"",K5&lt;&gt;""),"Yes","No"))</f>
        <v>Yes</v>
      </c>
    </row>
    <row r="6" customFormat="false" ht="15" hidden="false" customHeight="false" outlineLevel="0" collapsed="false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27"/>
      <c r="Q6" s="26" t="str">
        <f aca="false">IF(A6="","",IF(AND(H6&lt;&gt;"",I6&lt;&gt;"",K6&lt;&gt;""),"Yes","No"))</f>
        <v/>
      </c>
    </row>
    <row r="7" customFormat="false" ht="15" hidden="false" customHeight="false" outlineLevel="0" collapsed="false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30"/>
      <c r="P7" s="29"/>
      <c r="Q7" s="26" t="str">
        <f aca="false">IF(A7="","",IF(AND(H7&lt;&gt;"",I7&lt;&gt;"",K7&lt;&gt;""),"Yes","No"))</f>
        <v/>
      </c>
    </row>
    <row r="8" customFormat="false" ht="15" hidden="false" customHeight="false" outlineLevel="0" collapsed="false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8"/>
      <c r="P8" s="27"/>
      <c r="Q8" s="26" t="str">
        <f aca="false">IF(A8="","",IF(AND(H8&lt;&gt;"",I8&lt;&gt;"",K8&lt;&gt;""),"Yes","No"))</f>
        <v/>
      </c>
    </row>
    <row r="9" customFormat="false" ht="15" hidden="false" customHeight="false" outlineLevel="0" collapsed="false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29"/>
      <c r="Q9" s="26" t="str">
        <f aca="false">IF(A9="","",IF(AND(H9&lt;&gt;"",I9&lt;&gt;"",K9&lt;&gt;""),"Yes","No"))</f>
        <v/>
      </c>
    </row>
    <row r="10" customFormat="false" ht="15" hidden="false" customHeight="false" outlineLevel="0" collapsed="false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7"/>
      <c r="Q10" s="26" t="str">
        <f aca="false">IF(A10="","",IF(AND(H10&lt;&gt;"",I10&lt;&gt;"",K10&lt;&gt;""),"Yes","No"))</f>
        <v/>
      </c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/>
      <c r="P11" s="29"/>
      <c r="Q11" s="26" t="str">
        <f aca="false">IF(A11="","",IF(AND(H11&lt;&gt;"",I11&lt;&gt;"",K11&lt;&gt;""),"Yes","No"))</f>
        <v/>
      </c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8"/>
      <c r="P12" s="27"/>
      <c r="Q12" s="26" t="str">
        <f aca="false">IF(A12="","",IF(AND(H12&lt;&gt;"",I12&lt;&gt;"",K12&lt;&gt;""),"Yes","No"))</f>
        <v/>
      </c>
    </row>
    <row r="13" customFormat="false" ht="15" hidden="false" customHeight="false" outlineLevel="0" collapsed="false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  <c r="P13" s="29"/>
      <c r="Q13" s="26" t="str">
        <f aca="false">IF(A13="","",IF(AND(H13&lt;&gt;"",I13&lt;&gt;"",K13&lt;&gt;""),"Yes","No"))</f>
        <v/>
      </c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8"/>
      <c r="P14" s="27"/>
      <c r="Q14" s="26" t="str">
        <f aca="false">IF(A14="","",IF(AND(H14&lt;&gt;"",I14&lt;&gt;"",K14&lt;&gt;""),"Yes","No"))</f>
        <v/>
      </c>
    </row>
    <row r="15" customFormat="false" ht="15" hidden="false" customHeight="false" outlineLevel="0" collapsed="false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30"/>
      <c r="P15" s="29"/>
      <c r="Q15" s="26" t="str">
        <f aca="false">IF(A15="","",IF(AND(H15&lt;&gt;"",I15&lt;&gt;"",K15&lt;&gt;""),"Yes","No"))</f>
        <v/>
      </c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8"/>
      <c r="P16" s="27"/>
      <c r="Q16" s="26" t="str">
        <f aca="false">IF(A16="","",IF(AND(H16&lt;&gt;"",I16&lt;&gt;"",K16&lt;&gt;""),"Yes","No"))</f>
        <v/>
      </c>
    </row>
    <row r="17" customFormat="false" ht="15" hidden="false" customHeight="false" outlineLevel="0" collapsed="false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  <c r="P17" s="29"/>
      <c r="Q17" s="26" t="str">
        <f aca="false">IF(A17="","",IF(AND(H17&lt;&gt;"",I17&lt;&gt;"",K17&lt;&gt;""),"Yes","No"))</f>
        <v/>
      </c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P18" s="27"/>
      <c r="Q18" s="26" t="str">
        <f aca="false">IF(A18="","",IF(AND(H18&lt;&gt;"",I18&lt;&gt;"",K18&lt;&gt;""),"Yes","No"))</f>
        <v/>
      </c>
    </row>
    <row r="19" customFormat="false" ht="15" hidden="false" customHeight="false" outlineLevel="0" collapsed="false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/>
      <c r="P19" s="29"/>
      <c r="Q19" s="26" t="str">
        <f aca="false">IF(A19="","",IF(AND(H19&lt;&gt;"",I19&lt;&gt;"",K19&lt;&gt;""),"Yes","No"))</f>
        <v/>
      </c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8"/>
      <c r="P20" s="27"/>
      <c r="Q20" s="26" t="str">
        <f aca="false">IF(A20="","",IF(AND(H20&lt;&gt;"",I20&lt;&gt;"",K20&lt;&gt;""),"Yes","No"))</f>
        <v/>
      </c>
    </row>
    <row r="21" customFormat="false" ht="15" hidden="false" customHeight="false" outlineLevel="0" collapsed="false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30"/>
      <c r="P21" s="29"/>
      <c r="Q21" s="26" t="str">
        <f aca="false">IF(A21="","",IF(AND(H21&lt;&gt;"",I21&lt;&gt;"",K21&lt;&gt;""),"Yes","No"))</f>
        <v/>
      </c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8"/>
      <c r="P22" s="27"/>
      <c r="Q22" s="26" t="str">
        <f aca="false">IF(A22="","",IF(AND(H22&lt;&gt;"",I22&lt;&gt;"",K22&lt;&gt;""),"Yes","No"))</f>
        <v/>
      </c>
    </row>
    <row r="23" customFormat="false" ht="15" hidden="false" customHeight="false" outlineLevel="0" collapsed="false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  <c r="P23" s="29"/>
      <c r="Q23" s="26" t="str">
        <f aca="false">IF(A23="","",IF(AND(H23&lt;&gt;"",I23&lt;&gt;"",K23&lt;&gt;""),"Yes","No"))</f>
        <v/>
      </c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8"/>
      <c r="P24" s="27"/>
      <c r="Q24" s="26" t="str">
        <f aca="false">IF(A24="","",IF(AND(H24&lt;&gt;"",I24&lt;&gt;"",K24&lt;&gt;""),"Yes","No"))</f>
        <v/>
      </c>
    </row>
    <row r="25" customFormat="false" ht="15" hidden="false" customHeight="false" outlineLevel="0" collapsed="false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30"/>
      <c r="P25" s="29"/>
      <c r="Q25" s="26" t="str">
        <f aca="false">IF(A25="","",IF(AND(H25&lt;&gt;"",I25&lt;&gt;"",K25&lt;&gt;""),"Yes","No"))</f>
        <v/>
      </c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8"/>
      <c r="P26" s="27"/>
      <c r="Q26" s="26" t="str">
        <f aca="false">IF(A26="","",IF(AND(H26&lt;&gt;"",I26&lt;&gt;"",K26&lt;&gt;""),"Yes","No"))</f>
        <v/>
      </c>
    </row>
    <row r="27" customFormat="false" ht="15" hidden="false" customHeight="false" outlineLevel="0" collapsed="false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30"/>
      <c r="P27" s="29"/>
      <c r="Q27" s="26" t="str">
        <f aca="false">IF(A27="","",IF(AND(H27&lt;&gt;"",I27&lt;&gt;"",K27&lt;&gt;""),"Yes","No"))</f>
        <v/>
      </c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  <c r="P28" s="27"/>
      <c r="Q28" s="26" t="str">
        <f aca="false">IF(A28="","",IF(AND(H28&lt;&gt;"",I28&lt;&gt;"",K28&lt;&gt;""),"Yes","No"))</f>
        <v/>
      </c>
    </row>
    <row r="29" customFormat="false" ht="15" hidden="false" customHeight="false" outlineLevel="0" collapsed="false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30"/>
      <c r="P29" s="29"/>
      <c r="Q29" s="26" t="str">
        <f aca="false">IF(A29="","",IF(AND(H29&lt;&gt;"",I29&lt;&gt;"",K29&lt;&gt;""),"Yes","No"))</f>
        <v/>
      </c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8"/>
      <c r="P30" s="27"/>
      <c r="Q30" s="26" t="str">
        <f aca="false">IF(A30="","",IF(AND(H30&lt;&gt;"",I30&lt;&gt;"",K30&lt;&gt;""),"Yes","No"))</f>
        <v/>
      </c>
    </row>
    <row r="31" customFormat="false" ht="15" hidden="false" customHeight="false" outlineLevel="0" collapsed="false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30"/>
      <c r="P31" s="29"/>
      <c r="Q31" s="26" t="str">
        <f aca="false">IF(A31="","",IF(AND(H31&lt;&gt;"",I31&lt;&gt;"",K31&lt;&gt;""),"Yes","No"))</f>
        <v/>
      </c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8"/>
      <c r="P32" s="27"/>
      <c r="Q32" s="26" t="str">
        <f aca="false">IF(A32="","",IF(AND(H32&lt;&gt;"",I32&lt;&gt;"",K32&lt;&gt;""),"Yes","No"))</f>
        <v/>
      </c>
    </row>
    <row r="33" customFormat="false" ht="15" hidden="false" customHeight="false" outlineLevel="0" collapsed="false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29"/>
      <c r="Q33" s="26" t="str">
        <f aca="false">IF(A33="","",IF(AND(H33&lt;&gt;"",I33&lt;&gt;"",K33&lt;&gt;""),"Yes","No"))</f>
        <v/>
      </c>
    </row>
    <row r="34" customFormat="false" ht="15" hidden="false" customHeight="false" outlineLevel="0" collapsed="false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8"/>
      <c r="P34" s="27"/>
      <c r="Q34" s="26" t="str">
        <f aca="false">IF(A34="","",IF(AND(H34&lt;&gt;"",I34&lt;&gt;"",K34&lt;&gt;""),"Yes","No"))</f>
        <v/>
      </c>
    </row>
    <row r="35" customFormat="false" ht="15" hidden="false" customHeight="false" outlineLevel="0" collapsed="false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30"/>
      <c r="P35" s="29"/>
      <c r="Q35" s="26" t="str">
        <f aca="false">IF(A35="","",IF(AND(H35&lt;&gt;"",I35&lt;&gt;"",K35&lt;&gt;""),"Yes","No"))</f>
        <v/>
      </c>
    </row>
    <row r="36" customFormat="false" ht="1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8"/>
      <c r="P36" s="27"/>
      <c r="Q36" s="26" t="str">
        <f aca="false">IF(A36="","",IF(AND(H36&lt;&gt;"",I36&lt;&gt;"",K36&lt;&gt;""),"Yes","No"))</f>
        <v/>
      </c>
    </row>
    <row r="37" customFormat="false" ht="15" hidden="false" customHeight="false" outlineLevel="0" collapsed="false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30"/>
      <c r="P37" s="29"/>
      <c r="Q37" s="26" t="str">
        <f aca="false">IF(A37="","",IF(AND(H37&lt;&gt;"",I37&lt;&gt;"",K37&lt;&gt;""),"Yes","No"))</f>
        <v/>
      </c>
    </row>
    <row r="38" customFormat="false" ht="1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8"/>
      <c r="P38" s="27"/>
      <c r="Q38" s="26" t="str">
        <f aca="false">IF(A38="","",IF(AND(H38&lt;&gt;"",I38&lt;&gt;"",K38&lt;&gt;""),"Yes","No"))</f>
        <v/>
      </c>
    </row>
    <row r="39" customFormat="false" ht="15" hidden="false" customHeight="false" outlineLevel="0" collapsed="false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29"/>
      <c r="Q39" s="26" t="str">
        <f aca="false">IF(A39="","",IF(AND(H39&lt;&gt;"",I39&lt;&gt;"",K39&lt;&gt;""),"Yes","No"))</f>
        <v/>
      </c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8"/>
      <c r="P40" s="27"/>
      <c r="Q40" s="26" t="str">
        <f aca="false">IF(A40="","",IF(AND(H40&lt;&gt;"",I40&lt;&gt;"",K40&lt;&gt;""),"Yes","No"))</f>
        <v/>
      </c>
    </row>
    <row r="41" customFormat="false" ht="15" hidden="false" customHeight="false" outlineLevel="0" collapsed="false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30"/>
      <c r="P41" s="29"/>
      <c r="Q41" s="26" t="str">
        <f aca="false">IF(A41="","",IF(AND(H41&lt;&gt;"",I41&lt;&gt;"",K41&lt;&gt;""),"Yes","No"))</f>
        <v/>
      </c>
    </row>
    <row r="42" customFormat="false" ht="1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8"/>
      <c r="P42" s="27"/>
      <c r="Q42" s="26" t="str">
        <f aca="false">IF(A42="","",IF(AND(H42&lt;&gt;"",I42&lt;&gt;"",K42&lt;&gt;""),"Yes","No"))</f>
        <v/>
      </c>
    </row>
    <row r="43" customFormat="false" ht="15" hidden="false" customHeight="false" outlineLevel="0" collapsed="false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30"/>
      <c r="P43" s="29"/>
      <c r="Q43" s="26" t="str">
        <f aca="false">IF(A43="","",IF(AND(H43&lt;&gt;"",I43&lt;&gt;"",K43&lt;&gt;""),"Yes","No"))</f>
        <v/>
      </c>
    </row>
    <row r="44" customFormat="false" ht="1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8"/>
      <c r="P44" s="27"/>
      <c r="Q44" s="26" t="str">
        <f aca="false">IF(A44="","",IF(AND(H44&lt;&gt;"",I44&lt;&gt;"",K44&lt;&gt;""),"Yes","No"))</f>
        <v/>
      </c>
    </row>
    <row r="45" customFormat="false" ht="15" hidden="false" customHeight="false" outlineLevel="0" collapsed="false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30"/>
      <c r="P45" s="29"/>
      <c r="Q45" s="26" t="str">
        <f aca="false">IF(A45="","",IF(AND(H45&lt;&gt;"",I45&lt;&gt;"",K45&lt;&gt;""),"Yes","No"))</f>
        <v/>
      </c>
    </row>
    <row r="46" customFormat="false" ht="1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8"/>
      <c r="P46" s="27"/>
      <c r="Q46" s="26" t="str">
        <f aca="false">IF(A46="","",IF(AND(H46&lt;&gt;"",I46&lt;&gt;"",K46&lt;&gt;""),"Yes","No"))</f>
        <v/>
      </c>
    </row>
    <row r="47" customFormat="false" ht="15" hidden="false" customHeight="false" outlineLevel="0" collapsed="false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29"/>
      <c r="Q47" s="26" t="str">
        <f aca="false">IF(A47="","",IF(AND(H47&lt;&gt;"",I47&lt;&gt;"",K47&lt;&gt;""),"Yes","No"))</f>
        <v/>
      </c>
    </row>
    <row r="48" customFormat="false" ht="1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8"/>
      <c r="P48" s="27"/>
      <c r="Q48" s="26" t="str">
        <f aca="false">IF(A48="","",IF(AND(H48&lt;&gt;"",I48&lt;&gt;"",K48&lt;&gt;""),"Yes","No"))</f>
        <v/>
      </c>
    </row>
    <row r="49" customFormat="false" ht="15" hidden="false" customHeight="false" outlineLevel="0" collapsed="false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30"/>
      <c r="P49" s="29"/>
      <c r="Q49" s="26" t="str">
        <f aca="false">IF(A49="","",IF(AND(H49&lt;&gt;"",I49&lt;&gt;"",K49&lt;&gt;""),"Yes","No"))</f>
        <v/>
      </c>
    </row>
    <row r="50" customFormat="false" ht="1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8"/>
      <c r="P50" s="27"/>
      <c r="Q50" s="26" t="str">
        <f aca="false">IF(A50="","",IF(AND(H50&lt;&gt;"",I50&lt;&gt;"",K50&lt;&gt;""),"Yes","No"))</f>
        <v/>
      </c>
    </row>
    <row r="51" customFormat="false" ht="15" hidden="false" customHeight="false" outlineLevel="0" collapsed="false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30"/>
      <c r="P51" s="29"/>
      <c r="Q51" s="26" t="str">
        <f aca="false">IF(A51="","",IF(AND(H51&lt;&gt;"",I51&lt;&gt;"",K51&lt;&gt;""),"Yes","No"))</f>
        <v/>
      </c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8"/>
      <c r="P52" s="27"/>
      <c r="Q52" s="26" t="str">
        <f aca="false">IF(A52="","",IF(AND(H52&lt;&gt;"",I52&lt;&gt;"",K52&lt;&gt;""),"Yes","No"))</f>
        <v/>
      </c>
    </row>
    <row r="53" customFormat="false" ht="15" hidden="false" customHeight="false" outlineLevel="0" collapsed="false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30"/>
      <c r="P53" s="29"/>
      <c r="Q53" s="26" t="str">
        <f aca="false">IF(A53="","",IF(AND(H53&lt;&gt;"",I53&lt;&gt;"",K53&lt;&gt;""),"Yes","No"))</f>
        <v/>
      </c>
    </row>
    <row r="54" customFormat="false" ht="1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8"/>
      <c r="P54" s="27"/>
      <c r="Q54" s="26" t="str">
        <f aca="false">IF(A54="","",IF(AND(H54&lt;&gt;"",I54&lt;&gt;"",K54&lt;&gt;""),"Yes","No"))</f>
        <v/>
      </c>
    </row>
    <row r="55" customFormat="false" ht="15" hidden="false" customHeight="false" outlineLevel="0" collapsed="false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30"/>
      <c r="P55" s="29"/>
      <c r="Q55" s="26" t="str">
        <f aca="false">IF(A55="","",IF(AND(H55&lt;&gt;"",I55&lt;&gt;"",K55&lt;&gt;""),"Yes","No"))</f>
        <v/>
      </c>
    </row>
    <row r="56" customFormat="false" ht="1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8"/>
      <c r="P56" s="27"/>
      <c r="Q56" s="26" t="str">
        <f aca="false">IF(A56="","",IF(AND(H56&lt;&gt;"",I56&lt;&gt;"",K56&lt;&gt;""),"Yes","No"))</f>
        <v/>
      </c>
    </row>
    <row r="57" customFormat="false" ht="15" hidden="false" customHeight="false" outlineLevel="0" collapsed="false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30"/>
      <c r="P57" s="29"/>
      <c r="Q57" s="26" t="str">
        <f aca="false">IF(A57="","",IF(AND(H57&lt;&gt;"",I57&lt;&gt;"",K57&lt;&gt;""),"Yes","No"))</f>
        <v/>
      </c>
    </row>
    <row r="58" customFormat="false" ht="1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8"/>
      <c r="P58" s="27"/>
      <c r="Q58" s="26" t="str">
        <f aca="false">IF(A58="","",IF(AND(H58&lt;&gt;"",I58&lt;&gt;"",K58&lt;&gt;""),"Yes","No"))</f>
        <v/>
      </c>
    </row>
    <row r="59" customFormat="false" ht="15" hidden="false" customHeight="false" outlineLevel="0" collapsed="false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30"/>
      <c r="P59" s="29"/>
      <c r="Q59" s="26" t="str">
        <f aca="false">IF(A59="","",IF(AND(H59&lt;&gt;"",I59&lt;&gt;"",K59&lt;&gt;""),"Yes","No"))</f>
        <v/>
      </c>
    </row>
    <row r="60" customFormat="false" ht="1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8"/>
      <c r="P60" s="27"/>
      <c r="Q60" s="26" t="str">
        <f aca="false">IF(A60="","",IF(AND(H60&lt;&gt;"",I60&lt;&gt;"",K60&lt;&gt;""),"Yes","No"))</f>
        <v/>
      </c>
    </row>
    <row r="61" customFormat="false" ht="15" hidden="false" customHeight="false" outlineLevel="0" collapsed="false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30"/>
      <c r="P61" s="29"/>
      <c r="Q61" s="26" t="str">
        <f aca="false">IF(A61="","",IF(AND(H61&lt;&gt;"",I61&lt;&gt;"",K61&lt;&gt;""),"Yes","No"))</f>
        <v/>
      </c>
    </row>
    <row r="62" customFormat="false" ht="1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8"/>
      <c r="P62" s="27"/>
      <c r="Q62" s="26" t="str">
        <f aca="false">IF(A62="","",IF(AND(H62&lt;&gt;"",I62&lt;&gt;"",K62&lt;&gt;""),"Yes","No"))</f>
        <v/>
      </c>
    </row>
    <row r="63" customFormat="false" ht="15" hidden="false" customHeight="false" outlineLevel="0" collapsed="false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30"/>
      <c r="P63" s="29"/>
      <c r="Q63" s="26" t="str">
        <f aca="false">IF(A63="","",IF(AND(H63&lt;&gt;"",I63&lt;&gt;"",K63&lt;&gt;""),"Yes","No"))</f>
        <v/>
      </c>
    </row>
    <row r="64" customFormat="false" ht="1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8"/>
      <c r="P64" s="27"/>
      <c r="Q64" s="26" t="str">
        <f aca="false">IF(A64="","",IF(AND(H64&lt;&gt;"",I64&lt;&gt;"",K64&lt;&gt;""),"Yes","No"))</f>
        <v/>
      </c>
    </row>
    <row r="65" customFormat="false" ht="15" hidden="false" customHeight="false" outlineLevel="0" collapsed="false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30"/>
      <c r="P65" s="29"/>
      <c r="Q65" s="26" t="str">
        <f aca="false">IF(A65="","",IF(AND(H65&lt;&gt;"",I65&lt;&gt;"",K65&lt;&gt;""),"Yes","No"))</f>
        <v/>
      </c>
    </row>
    <row r="66" customFormat="false" ht="1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8"/>
      <c r="P66" s="27"/>
      <c r="Q66" s="26" t="str">
        <f aca="false">IF(A66="","",IF(AND(H66&lt;&gt;"",I66&lt;&gt;"",K66&lt;&gt;""),"Yes","No"))</f>
        <v/>
      </c>
    </row>
    <row r="67" customFormat="false" ht="15" hidden="false" customHeight="false" outlineLevel="0" collapsed="false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30"/>
      <c r="P67" s="29"/>
      <c r="Q67" s="26" t="str">
        <f aca="false">IF(A67="","",IF(AND(H67&lt;&gt;"",I67&lt;&gt;"",K67&lt;&gt;""),"Yes","No"))</f>
        <v/>
      </c>
    </row>
    <row r="68" customFormat="false" ht="1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8"/>
      <c r="P68" s="27"/>
      <c r="Q68" s="26" t="str">
        <f aca="false">IF(A68="","",IF(AND(H68&lt;&gt;"",I68&lt;&gt;"",K68&lt;&gt;""),"Yes","No"))</f>
        <v/>
      </c>
    </row>
    <row r="69" customFormat="false" ht="15" hidden="false" customHeight="false" outlineLevel="0" collapsed="false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30"/>
      <c r="P69" s="29"/>
      <c r="Q69" s="26" t="str">
        <f aca="false">IF(A69="","",IF(AND(H69&lt;&gt;"",I69&lt;&gt;"",K69&lt;&gt;""),"Yes","No"))</f>
        <v/>
      </c>
    </row>
    <row r="70" customFormat="false" ht="15" hidden="false" customHeight="false" outlineLevel="0" collapsed="false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8"/>
      <c r="P70" s="27"/>
      <c r="Q70" s="26" t="str">
        <f aca="false">IF(A70="","",IF(AND(H70&lt;&gt;"",I70&lt;&gt;"",K70&lt;&gt;""),"Yes","No"))</f>
        <v/>
      </c>
    </row>
    <row r="71" customFormat="false" ht="15" hidden="false" customHeight="false" outlineLevel="0" collapsed="false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30"/>
      <c r="P71" s="29"/>
      <c r="Q71" s="26" t="str">
        <f aca="false">IF(A71="","",IF(AND(H71&lt;&gt;"",I71&lt;&gt;"",K71&lt;&gt;""),"Yes","No"))</f>
        <v/>
      </c>
    </row>
    <row r="72" customFormat="false" ht="15" hidden="false" customHeight="false" outlineLevel="0" collapsed="false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8"/>
      <c r="P72" s="27"/>
      <c r="Q72" s="26" t="str">
        <f aca="false">IF(A72="","",IF(AND(H72&lt;&gt;"",I72&lt;&gt;"",K72&lt;&gt;""),"Yes","No"))</f>
        <v/>
      </c>
    </row>
    <row r="73" customFormat="false" ht="15" hidden="false" customHeight="false" outlineLevel="0" collapsed="false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30"/>
      <c r="P73" s="29"/>
      <c r="Q73" s="26" t="str">
        <f aca="false">IF(A73="","",IF(AND(H73&lt;&gt;"",I73&lt;&gt;"",K73&lt;&gt;""),"Yes","No"))</f>
        <v/>
      </c>
    </row>
    <row r="74" customFormat="false" ht="15" hidden="false" customHeight="false" outlineLevel="0" collapsed="false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8"/>
      <c r="P74" s="27"/>
      <c r="Q74" s="26" t="str">
        <f aca="false">IF(A74="","",IF(AND(H74&lt;&gt;"",I74&lt;&gt;"",K74&lt;&gt;""),"Yes","No"))</f>
        <v/>
      </c>
    </row>
    <row r="75" customFormat="false" ht="15" hidden="false" customHeight="false" outlineLevel="0" collapsed="false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30"/>
      <c r="P75" s="29"/>
      <c r="Q75" s="26" t="str">
        <f aca="false">IF(A75="","",IF(AND(H75&lt;&gt;"",I75&lt;&gt;"",K75&lt;&gt;""),"Yes","No"))</f>
        <v/>
      </c>
    </row>
    <row r="76" customFormat="false" ht="15" hidden="false" customHeight="false" outlineLevel="0" collapsed="false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8"/>
      <c r="P76" s="27"/>
      <c r="Q76" s="26" t="str">
        <f aca="false">IF(A76="","",IF(AND(H76&lt;&gt;"",I76&lt;&gt;"",K76&lt;&gt;""),"Yes","No"))</f>
        <v/>
      </c>
    </row>
    <row r="77" customFormat="false" ht="15" hidden="false" customHeight="false" outlineLevel="0" collapsed="false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30"/>
      <c r="P77" s="29"/>
      <c r="Q77" s="26" t="str">
        <f aca="false">IF(A77="","",IF(AND(H77&lt;&gt;"",I77&lt;&gt;"",K77&lt;&gt;""),"Yes","No"))</f>
        <v/>
      </c>
    </row>
    <row r="78" customFormat="false" ht="15" hidden="false" customHeight="fals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8"/>
      <c r="P78" s="27"/>
      <c r="Q78" s="26" t="str">
        <f aca="false">IF(A78="","",IF(AND(H78&lt;&gt;"",I78&lt;&gt;"",K78&lt;&gt;""),"Yes","No"))</f>
        <v/>
      </c>
    </row>
    <row r="79" customFormat="false" ht="15" hidden="false" customHeight="false" outlineLevel="0" collapsed="false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30"/>
      <c r="P79" s="29"/>
      <c r="Q79" s="26" t="str">
        <f aca="false">IF(A79="","",IF(AND(H79&lt;&gt;"",I79&lt;&gt;"",K79&lt;&gt;""),"Yes","No"))</f>
        <v/>
      </c>
    </row>
    <row r="80" customFormat="false" ht="1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8"/>
      <c r="P80" s="27"/>
      <c r="Q80" s="26" t="str">
        <f aca="false">IF(A80="","",IF(AND(H80&lt;&gt;"",I80&lt;&gt;"",K80&lt;&gt;""),"Yes","No"))</f>
        <v/>
      </c>
    </row>
    <row r="81" customFormat="false" ht="15" hidden="false" customHeight="false" outlineLevel="0" collapsed="false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30"/>
      <c r="P81" s="29"/>
      <c r="Q81" s="26" t="str">
        <f aca="false">IF(A81="","",IF(AND(H81&lt;&gt;"",I81&lt;&gt;"",K81&lt;&gt;""),"Yes","No"))</f>
        <v/>
      </c>
    </row>
    <row r="82" customFormat="false" ht="1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8"/>
      <c r="P82" s="27"/>
      <c r="Q82" s="26" t="str">
        <f aca="false">IF(A82="","",IF(AND(H82&lt;&gt;"",I82&lt;&gt;"",K82&lt;&gt;""),"Yes","No"))</f>
        <v/>
      </c>
    </row>
    <row r="83" customFormat="false" ht="15" hidden="false" customHeight="false" outlineLevel="0" collapsed="false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30"/>
      <c r="P83" s="29"/>
      <c r="Q83" s="26" t="str">
        <f aca="false">IF(A83="","",IF(AND(H83&lt;&gt;"",I83&lt;&gt;"",K83&lt;&gt;""),"Yes","No"))</f>
        <v/>
      </c>
    </row>
    <row r="84" customFormat="false" ht="15" hidden="false" customHeight="false" outlineLevel="0" collapsed="false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8"/>
      <c r="P84" s="27"/>
      <c r="Q84" s="26" t="str">
        <f aca="false">IF(A84="","",IF(AND(H84&lt;&gt;"",I84&lt;&gt;"",K84&lt;&gt;""),"Yes","No"))</f>
        <v/>
      </c>
    </row>
    <row r="85" customFormat="false" ht="15" hidden="false" customHeight="false" outlineLevel="0" collapsed="false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30"/>
      <c r="P85" s="29"/>
      <c r="Q85" s="26" t="str">
        <f aca="false">IF(A85="","",IF(AND(H85&lt;&gt;"",I85&lt;&gt;"",K85&lt;&gt;""),"Yes","No"))</f>
        <v/>
      </c>
    </row>
    <row r="86" customFormat="false" ht="15" hidden="false" customHeight="false" outlineLevel="0" collapsed="false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8"/>
      <c r="P86" s="27"/>
      <c r="Q86" s="26" t="str">
        <f aca="false">IF(A86="","",IF(AND(H86&lt;&gt;"",I86&lt;&gt;"",K86&lt;&gt;""),"Yes","No"))</f>
        <v/>
      </c>
    </row>
    <row r="87" customFormat="false" ht="15" hidden="false" customHeight="false" outlineLevel="0" collapsed="false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30"/>
      <c r="P87" s="29"/>
      <c r="Q87" s="26" t="str">
        <f aca="false">IF(A87="","",IF(AND(H87&lt;&gt;"",I87&lt;&gt;"",K87&lt;&gt;""),"Yes","No"))</f>
        <v/>
      </c>
    </row>
    <row r="88" customFormat="false" ht="15" hidden="false" customHeight="false" outlineLevel="0" collapsed="false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8"/>
      <c r="P88" s="27"/>
      <c r="Q88" s="26" t="str">
        <f aca="false">IF(A88="","",IF(AND(H88&lt;&gt;"",I88&lt;&gt;"",K88&lt;&gt;""),"Yes","No"))</f>
        <v/>
      </c>
    </row>
    <row r="89" customFormat="false" ht="15" hidden="false" customHeight="false" outlineLevel="0" collapsed="false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30"/>
      <c r="P89" s="29"/>
      <c r="Q89" s="26" t="str">
        <f aca="false">IF(A89="","",IF(AND(H89&lt;&gt;"",I89&lt;&gt;"",K89&lt;&gt;""),"Yes","No"))</f>
        <v/>
      </c>
    </row>
    <row r="90" customFormat="false" ht="15" hidden="false" customHeight="false" outlineLevel="0" collapsed="false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8"/>
      <c r="P90" s="27"/>
      <c r="Q90" s="26" t="str">
        <f aca="false">IF(A90="","",IF(AND(H90&lt;&gt;"",I90&lt;&gt;"",K90&lt;&gt;""),"Yes","No"))</f>
        <v/>
      </c>
    </row>
    <row r="91" customFormat="false" ht="15" hidden="false" customHeight="false" outlineLevel="0" collapsed="false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30"/>
      <c r="P91" s="29"/>
      <c r="Q91" s="26" t="str">
        <f aca="false">IF(A91="","",IF(AND(H91&lt;&gt;"",I91&lt;&gt;"",K91&lt;&gt;""),"Yes","No"))</f>
        <v/>
      </c>
    </row>
    <row r="92" customFormat="false" ht="15" hidden="false" customHeight="false" outlineLevel="0" collapsed="fals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8"/>
      <c r="P92" s="27"/>
      <c r="Q92" s="26" t="str">
        <f aca="false">IF(A92="","",IF(AND(H92&lt;&gt;"",I92&lt;&gt;"",K92&lt;&gt;""),"Yes","No"))</f>
        <v/>
      </c>
    </row>
    <row r="93" customFormat="false" ht="15" hidden="false" customHeight="false" outlineLevel="0" collapsed="false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30"/>
      <c r="P93" s="29"/>
      <c r="Q93" s="26" t="str">
        <f aca="false">IF(A93="","",IF(AND(H93&lt;&gt;"",I93&lt;&gt;"",K93&lt;&gt;""),"Yes","No"))</f>
        <v/>
      </c>
    </row>
    <row r="94" customFormat="false" ht="15" hidden="false" customHeight="false" outlineLevel="0" collapsed="false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8"/>
      <c r="P94" s="27"/>
      <c r="Q94" s="26" t="str">
        <f aca="false">IF(A94="","",IF(AND(H94&lt;&gt;"",I94&lt;&gt;"",K94&lt;&gt;""),"Yes","No"))</f>
        <v/>
      </c>
    </row>
    <row r="95" customFormat="false" ht="15" hidden="false" customHeight="false" outlineLevel="0" collapsed="false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30"/>
      <c r="P95" s="29"/>
      <c r="Q95" s="26" t="str">
        <f aca="false">IF(A95="","",IF(AND(H95&lt;&gt;"",I95&lt;&gt;"",K95&lt;&gt;""),"Yes","No"))</f>
        <v/>
      </c>
    </row>
    <row r="96" customFormat="false" ht="1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8"/>
      <c r="P96" s="27"/>
      <c r="Q96" s="26" t="str">
        <f aca="false">IF(A96="","",IF(AND(H96&lt;&gt;"",I96&lt;&gt;"",K96&lt;&gt;""),"Yes","No"))</f>
        <v/>
      </c>
    </row>
    <row r="97" customFormat="false" ht="15" hidden="false" customHeight="false" outlineLevel="0" collapsed="false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30"/>
      <c r="P97" s="29"/>
      <c r="Q97" s="26" t="str">
        <f aca="false">IF(A97="","",IF(AND(H97&lt;&gt;"",I97&lt;&gt;"",K97&lt;&gt;""),"Yes","No"))</f>
        <v/>
      </c>
    </row>
    <row r="98" customFormat="false" ht="1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8"/>
      <c r="P98" s="27"/>
      <c r="Q98" s="26" t="str">
        <f aca="false">IF(A98="","",IF(AND(H98&lt;&gt;"",I98&lt;&gt;"",K98&lt;&gt;""),"Yes","No"))</f>
        <v/>
      </c>
    </row>
    <row r="99" customFormat="false" ht="15" hidden="false" customHeight="false" outlineLevel="0" collapsed="false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30"/>
      <c r="P99" s="29"/>
      <c r="Q99" s="26" t="str">
        <f aca="false">IF(A99="","",IF(AND(H99&lt;&gt;"",I99&lt;&gt;"",K99&lt;&gt;""),"Yes","No"))</f>
        <v/>
      </c>
    </row>
    <row r="100" customFormat="false" ht="15" hidden="false" customHeight="false" outlineLevel="0" collapsed="false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8"/>
      <c r="P100" s="27"/>
      <c r="Q100" s="26" t="str">
        <f aca="false">IF(A100="","",IF(AND(H100&lt;&gt;"",I100&lt;&gt;"",K100&lt;&gt;""),"Yes","No"))</f>
        <v/>
      </c>
    </row>
    <row r="101" customFormat="false" ht="15" hidden="false" customHeight="false" outlineLevel="0" collapsed="false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30"/>
      <c r="P101" s="29"/>
      <c r="Q101" s="26" t="str">
        <f aca="false">IF(A101="","",IF(AND(H101&lt;&gt;"",I101&lt;&gt;"",K101&lt;&gt;""),"Yes","No"))</f>
        <v/>
      </c>
    </row>
    <row r="102" customFormat="false" ht="15" hidden="false" customHeight="false" outlineLevel="0" collapsed="false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8"/>
      <c r="P102" s="27"/>
      <c r="Q102" s="26" t="str">
        <f aca="false">IF(A102="","",IF(AND(H102&lt;&gt;"",I102&lt;&gt;"",K102&lt;&gt;""),"Yes","No"))</f>
        <v/>
      </c>
    </row>
    <row r="103" customFormat="false" ht="15" hidden="false" customHeight="false" outlineLevel="0" collapsed="false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30"/>
      <c r="P103" s="29"/>
      <c r="Q103" s="26" t="str">
        <f aca="false">IF(A103="","",IF(AND(H103&lt;&gt;"",I103&lt;&gt;"",K103&lt;&gt;""),"Yes","No"))</f>
        <v/>
      </c>
    </row>
    <row r="104" customFormat="false" ht="15" hidden="false" customHeight="false" outlineLevel="0" collapsed="false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8"/>
      <c r="P104" s="27"/>
      <c r="Q104" s="26" t="str">
        <f aca="false">IF(A104="","",IF(AND(H104&lt;&gt;"",I104&lt;&gt;"",K104&lt;&gt;""),"Yes","No"))</f>
        <v/>
      </c>
    </row>
  </sheetData>
  <autoFilter ref="A4:Q104"/>
  <mergeCells count="2">
    <mergeCell ref="A1:Q1"/>
    <mergeCell ref="A2:Q2"/>
  </mergeCells>
  <conditionalFormatting sqref="Q5:Q104">
    <cfRule type="cellIs" priority="2" operator="equal" aboveAverage="0" equalAverage="0" bottom="0" percent="0" rank="0" text="" dxfId="10">
      <formula>"Yes"</formula>
    </cfRule>
    <cfRule type="cellIs" priority="3" operator="equal" aboveAverage="0" equalAverage="0" bottom="0" percent="0" rank="0" text="" dxfId="11">
      <formula>"No"</formula>
    </cfRule>
  </conditionalFormatting>
  <conditionalFormatting sqref="L5:L104">
    <cfRule type="cellIs" priority="4" operator="equal" aboveAverage="0" equalAverage="0" bottom="0" percent="0" rank="0" text="" dxfId="10">
      <formula>"Pass"</formula>
    </cfRule>
    <cfRule type="cellIs" priority="5" operator="equal" aboveAverage="0" equalAverage="0" bottom="0" percent="0" rank="0" text="" dxfId="11">
      <formula>"Fail"</formula>
    </cfRule>
    <cfRule type="cellIs" priority="6" operator="equal" aboveAverage="0" equalAverage="0" bottom="0" percent="0" rank="0" text="" dxfId="12">
      <formula>"Blocked"</formula>
    </cfRule>
  </conditionalFormatting>
  <dataValidations count="4">
    <dataValidation allowBlank="true" error="Please select a value from the list (toolkit controlled vocabulary)." errorStyle="stop" errorTitle="Invalid entry" operator="between" showDropDown="false" showErrorMessage="true" showInputMessage="false" sqref="C5:C104" type="list">
      <formula1>Lists!$A$2:$A$8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F5:F104" type="list">
      <formula1>Lists!$B$2:$B$5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L5:L104" type="list">
      <formula1>Lists!$C$2:$C$6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N5:N104" type="list">
      <formula1>Lists!$D$2:$D$8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1" t="s">
        <v>120</v>
      </c>
      <c r="B1" s="31" t="s">
        <v>121</v>
      </c>
      <c r="C1" s="31" t="s">
        <v>122</v>
      </c>
      <c r="D1" s="31" t="s">
        <v>123</v>
      </c>
    </row>
    <row r="2" customFormat="false" ht="15" hidden="false" customHeight="false" outlineLevel="0" collapsed="false">
      <c r="A2" s="0" t="s">
        <v>124</v>
      </c>
      <c r="B2" s="0" t="s">
        <v>71</v>
      </c>
      <c r="C2" s="0" t="s">
        <v>118</v>
      </c>
      <c r="D2" s="0" t="s">
        <v>70</v>
      </c>
    </row>
    <row r="3" customFormat="false" ht="15" hidden="false" customHeight="false" outlineLevel="0" collapsed="false">
      <c r="A3" s="0" t="s">
        <v>125</v>
      </c>
      <c r="B3" s="0" t="s">
        <v>73</v>
      </c>
      <c r="C3" s="0" t="s">
        <v>126</v>
      </c>
      <c r="D3" s="0" t="s">
        <v>72</v>
      </c>
    </row>
    <row r="4" customFormat="false" ht="15" hidden="false" customHeight="false" outlineLevel="0" collapsed="false">
      <c r="A4" s="0" t="s">
        <v>110</v>
      </c>
      <c r="B4" s="0" t="s">
        <v>75</v>
      </c>
      <c r="C4" s="0" t="s">
        <v>127</v>
      </c>
      <c r="D4" s="0" t="s">
        <v>74</v>
      </c>
    </row>
    <row r="5" customFormat="false" ht="15" hidden="false" customHeight="false" outlineLevel="0" collapsed="false">
      <c r="A5" s="0" t="s">
        <v>128</v>
      </c>
      <c r="B5" s="0" t="s">
        <v>77</v>
      </c>
      <c r="C5" s="0" t="s">
        <v>129</v>
      </c>
      <c r="D5" s="0" t="s">
        <v>76</v>
      </c>
    </row>
    <row r="6" customFormat="false" ht="15" hidden="false" customHeight="false" outlineLevel="0" collapsed="false">
      <c r="A6" s="0" t="s">
        <v>130</v>
      </c>
      <c r="C6" s="0" t="s">
        <v>44</v>
      </c>
      <c r="D6" s="0" t="s">
        <v>78</v>
      </c>
    </row>
    <row r="7" customFormat="false" ht="15" hidden="false" customHeight="false" outlineLevel="0" collapsed="false">
      <c r="A7" s="0" t="s">
        <v>131</v>
      </c>
      <c r="D7" s="0" t="s">
        <v>79</v>
      </c>
    </row>
    <row r="8" customFormat="false" ht="15" hidden="false" customHeight="false" outlineLevel="0" collapsed="false">
      <c r="A8" s="0" t="s">
        <v>132</v>
      </c>
      <c r="D8" s="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PMI Predictive Project Management Toolkit</cp:category>
  <dcterms:created xsi:type="dcterms:W3CDTF">2026-10-28T04:08:59Z</dcterms:created>
  <dc:creator>[Project Manager]</dc:creator>
  <dc:description/>
  <cp:keywords>PRJ-2026-001-RTM PMBOK 8</cp:keywords>
  <dc:language>en-US</dc:language>
  <cp:lastModifiedBy/>
  <dcterms:modified xsi:type="dcterms:W3CDTF">2026-10-28T04:08:59Z</dcterms:modified>
  <cp:revision>0</cp:revision>
  <dc:subject>[Project Name]</dc:subject>
  <dc:title>04 - Requirements &amp; RTM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