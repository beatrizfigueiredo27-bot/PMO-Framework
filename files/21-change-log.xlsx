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hange Log" sheetId="3" state="visible" r:id="rId5"/>
    <sheet name="Lists" sheetId="4" state="hidden" r:id="rId6"/>
  </sheets>
  <definedNames>
    <definedName function="false" hidden="false" localSheetId="2" name="_xlnm.Print_Titles" vbProcedure="false">'Change Log'!$4:$4</definedName>
    <definedName function="false" hidden="true" localSheetId="2" name="_xlnm._FilterDatabase" vbProcedure="false">'Change Log'!$A$4:$Q$64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<sst xmlns="http://schemas.openxmlformats.org/spreadsheetml/2006/main" count="156" uniqueCount="128">
  <si>
    <t xml:space="preserve">[ORGANIZATION NAME]</t>
  </si>
  <si>
    <t xml:space="preserve">21 — Change Log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</si>
  <si>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</si>
  <si>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</si>
  <si>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</si>
  <si>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</si>
  <si>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</si>
  <si>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Governance</t>
  </si>
  <si>
    <t xml:space="preserve">Project ID</t>
  </si>
  <si>
    <t xml:space="preserve">PRJ-2026-001</t>
  </si>
  <si>
    <t xml:space="preserve">Focus area(s)</t>
  </si>
  <si>
    <t xml:space="preserve">Monitoring &amp; Controlling</t>
  </si>
  <si>
    <t xml:space="preserve">Document ID</t>
  </si>
  <si>
    <t xml:space="preserve">PRJ-2026-001-CHL</t>
  </si>
  <si>
    <t xml:space="preserve">Toolkit</t>
  </si>
  <si>
    <t xml:space="preserve">PMI Predictive Project Management Toolkit</t>
  </si>
  <si>
    <t xml:space="preserve">Document title</t>
  </si>
  <si>
    <t xml:space="preserve">Change Log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</si>
  <si>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</si>
  <si>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</si>
  <si>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</si>
  <si>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</si>
  <si>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</si>
  <si>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</si>
  <si>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</si>
  <si>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</si>
  <si>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</si>
  <si>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</si>
  <si>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</si>
  <si>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</si>
  <si>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</si>
  <si>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</si>
  <si>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</si>
  <si>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</si>
  <si>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</si>
  <si>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</si>
  <si>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</si>
  <si>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</si>
  <si>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</si>
  <si>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</si>
  <si>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</si>
  <si>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</si>
  <si>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</si>
  <si>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</si>
  <si>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</si>
  <si>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</si>
  <si>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</si>
  <si>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</si>
  <si>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</si>
  <si>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</si>
  <si>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</si>
  <si>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</si>
  <si>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</si>
  <si>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</si>
  <si>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</si>
  <si>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</si>
  <si>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</si>
  <si>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</si>
  <si>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Log every change request (doc 20) on submission and assign the next CR ID.</t>
  </si>
  <si>
    <t xml:space="preserve">2. Record quantified impacts; approved changes update baselines and trigger a major version of affected documents.</t>
  </si>
  <si>
    <t xml:space="preserve">3. The Summary sheet totals approved schedule and cost impacts against the original baselines.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</si>
  <si>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</si>
  <si>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</si>
  <si>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</si>
  <si>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21 — Change Log  |  Change Summary</t>
  </si>
  <si>
    <t xml:space="preserve">[Project Name]   •   PRJ-2026-001-CHL   •   v0.1 Draft   •   Internal</t>
  </si>
  <si>
    <t xml:space="preserve">Change requests by status</t>
  </si>
  <si>
    <t xml:space="preserve">Approved impact on baselines</t>
  </si>
  <si>
    <t xml:space="preserve">Item</t>
  </si>
  <si>
    <t xml:space="preserve">Count</t>
  </si>
  <si>
    <t xml:space="preserve">Metric</t>
  </si>
  <si>
    <t xml:space="preserve">Value</t>
  </si>
  <si>
    <t xml:space="preserve">Submitted</t>
  </si>
  <si>
    <t xml:space="preserve">Approved schedule impact (wd)</t>
  </si>
  <si>
    <t xml:space="preserve">Under analysis</t>
  </si>
  <si>
    <t xml:space="preserve">Approved cost impact (CAD)</t>
  </si>
  <si>
    <t xml:space="preserve">Pending decision</t>
  </si>
  <si>
    <t xml:space="preserve">Pending cost exposure (CAD)</t>
  </si>
  <si>
    <t xml:space="preserve">Approved</t>
  </si>
  <si>
    <t xml:space="preserve">Average days to decision</t>
  </si>
  <si>
    <t xml:space="preserve">Approved with conditions</t>
  </si>
  <si>
    <t xml:space="preserve">Rejected</t>
  </si>
  <si>
    <t xml:space="preserve">Deferred</t>
  </si>
  <si>
    <t xml:space="preserve">Implemented</t>
  </si>
  <si>
    <t xml:space="preserve">Closed</t>
  </si>
  <si>
    <t xml:space="preserve">Total</t>
  </si>
  <si>
    <t xml:space="preserve">21 — Change Log  |  Change Log</t>
  </si>
  <si>
    <t xml:space="preserve">CR ID</t>
  </si>
  <si>
    <t xml:space="preserve">Title</t>
  </si>
  <si>
    <t xml:space="preserve">Requested by</t>
  </si>
  <si>
    <t xml:space="preserve">Date submitted</t>
  </si>
  <si>
    <t xml:space="preserve">Category</t>
  </si>
  <si>
    <t xml:space="preserve">Description / reason</t>
  </si>
  <si>
    <t xml:space="preserve">Priority</t>
  </si>
  <si>
    <t xml:space="preserve">Schedule impact (wd)</t>
  </si>
  <si>
    <t xml:space="preserve">Cost impact (CAD)</t>
  </si>
  <si>
    <t xml:space="preserve">Baselines affected</t>
  </si>
  <si>
    <t xml:space="preserve">Decision authority</t>
  </si>
  <si>
    <t xml:space="preserve">Decision date</t>
  </si>
  <si>
    <t xml:space="preserve">Decision ref. (doc 23)</t>
  </si>
  <si>
    <t xml:space="preserve">Implemented date</t>
  </si>
  <si>
    <t xml:space="preserve">Documents re-versioned</t>
  </si>
  <si>
    <t xml:space="preserve">ƒ Days to decision</t>
  </si>
  <si>
    <t xml:space="preserve">CR-001</t>
  </si>
  <si>
    <t xml:space="preserve">Add mobile access to reporting module</t>
  </si>
  <si>
    <t xml:space="preserve">[Business Owner]</t>
  </si>
  <si>
    <t xml:space="preserve">Scope</t>
  </si>
  <si>
    <t xml:space="preserve">Users require field access</t>
  </si>
  <si>
    <t xml:space="preserve">Medium</t>
  </si>
  <si>
    <t xml:space="preserve">Scope+Schedule+Cost</t>
  </si>
  <si>
    <t xml:space="preserve">CCB</t>
  </si>
  <si>
    <t xml:space="preserve">CRCat</t>
  </si>
  <si>
    <t xml:space="preserve">Base</t>
  </si>
  <si>
    <t xml:space="preserve">Auth</t>
  </si>
  <si>
    <t xml:space="preserve">CRStatus</t>
  </si>
  <si>
    <t xml:space="preserve">Critical</t>
  </si>
  <si>
    <t xml:space="preserve">None</t>
  </si>
  <si>
    <t xml:space="preserve">Schedule</t>
  </si>
  <si>
    <t xml:space="preserve">High</t>
  </si>
  <si>
    <t xml:space="preserve">Cost</t>
  </si>
  <si>
    <t xml:space="preserve">Steering Committee</t>
  </si>
  <si>
    <t xml:space="preserve">Quality</t>
  </si>
  <si>
    <t xml:space="preserve">Low</t>
  </si>
  <si>
    <t xml:space="preserve">Resource</t>
  </si>
  <si>
    <t xml:space="preserve">Scope+Schedule</t>
  </si>
  <si>
    <t xml:space="preserve">Contract</t>
  </si>
  <si>
    <t xml:space="preserve">Schedule+Cost</t>
  </si>
  <si>
    <t xml:space="preserve">Document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</si>
</sst>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#,##0;[RED]\(#,##0\);\-"/>
    <numFmt numFmtId="168" formatCode="0.0"/>
    <numFmt numFmtId="169" formatCode="yyyy\-mm\-dd"/>
    <numFmt numFmtId="170" formatCode="0;\-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10"/>
      <color rgb="FF1E2A3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E5E8EB"/>
      </patternFill>
    </fill>
    <fill>
      <patternFill patternType="solid">
        <fgColor rgb="FFF3F6F9"/>
        <bgColor rgb="FFEAF2F2"/>
      </patternFill>
    </fill>
    <fill>
      <patternFill patternType="solid">
        <fgColor rgb="FFEAF2F2"/>
        <bgColor rgb="FFF3F6F9"/>
      </patternFill>
    </fill>
    <fill>
      <patternFill patternType="solid">
        <fgColor rgb="FF1380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FC7"/>
          <bgColor rgb="FF000000"/>
        </patternFill>
      </fill>
    </dxf>
    <dxf>
      <fill>
        <patternFill patternType="solid">
          <fgColor rgb="FF8A6200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ont>
        <name val="Calibri"/>
        <charset val="1"/>
        <family val="0"/>
        <b val="1"/>
        <color rgb="FF6B7785"/>
      </font>
      <fill>
        <patternFill>
          <bgColor rgb="FFE5E8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6B7785"/>
      <rgbColor rgb="FF9999FF"/>
      <rgbColor rgb="FF993366"/>
      <rgbColor rgb="FFFCEFC7"/>
      <rgbColor rgb="FFEAF2F2"/>
      <rgbColor rgb="FF660066"/>
      <rgbColor rgb="FFFF8080"/>
      <rgbColor rgb="FF0066CC"/>
      <rgbColor rgb="FFE5E8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3F6F9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</row>
    <row r="2" customFormat="false" ht="15.75" hidden="false" customHeight="true" outlineLevel="0" collapsed="false">
      <c r="A2" s="17" t="s">
        <v>65</v>
      </c>
      <c r="B2" s="17"/>
      <c r="C2" s="17"/>
      <c r="D2" s="17"/>
    </row>
    <row r="3" customFormat="false" ht="6" hidden="false" customHeight="true" outlineLevel="0" collapsed="false"/>
    <row r="4" customFormat="false" ht="15" hidden="false" customHeight="false" outlineLevel="0" collapsed="false">
      <c r="B4" s="18" t="s">
        <v>66</v>
      </c>
      <c r="E4" s="18" t="s">
        <v>67</v>
      </c>
    </row>
    <row r="5" customFormat="false" ht="15" hidden="false" customHeight="false" outlineLevel="0" collapsed="false">
      <c r="B5" s="9" t="s">
        <v>68</v>
      </c>
      <c r="C5" s="9" t="s">
        <v>69</v>
      </c>
      <c r="E5" s="9" t="s">
        <v>70</v>
      </c>
      <c r="F5" s="9" t="s">
        <v>71</v>
      </c>
    </row>
    <row r="6" customFormat="false" ht="15" hidden="false" customHeight="false" outlineLevel="0" collapsed="false">
      <c r="B6" s="19" t="s">
        <v>72</v>
      </c>
      <c r="C6" s="20" t="n">
        <f aca="false">COUNTIF('Change Log'!$L$5:$L$64,"Submitted")</f>
        <v>0</v>
      </c>
      <c r="E6" s="19" t="s">
        <v>73</v>
      </c>
      <c r="F6" s="21" t="n">
        <f aca="false">SUMIFS('Change Log'!$H$5:$H$64,'Change Log'!$L$5:$L$64,"Approved*")+SUMIFS('Change Log'!$H$5:$H$64,'Change Log'!$L$5:$L$64,"Implemented")+SUMIFS('Change Log'!$H$5:$H$64,'Change Log'!$L$5:$L$64,"Closed")</f>
        <v>0</v>
      </c>
    </row>
    <row r="7" customFormat="false" ht="15" hidden="false" customHeight="false" outlineLevel="0" collapsed="false">
      <c r="B7" s="19" t="s">
        <v>74</v>
      </c>
      <c r="C7" s="20" t="n">
        <f aca="false">COUNTIF('Change Log'!$L$5:$L$64,"Under analysis")</f>
        <v>0</v>
      </c>
      <c r="E7" s="19" t="s">
        <v>75</v>
      </c>
      <c r="F7" s="22" t="n">
        <f aca="false">SUMIFS('Change Log'!$I$5:$I$64,'Change Log'!$L$5:$L$64,"Approved*")+SUMIFS('Change Log'!$I$5:$I$64,'Change Log'!$L$5:$L$64,"Implemented")+SUMIFS('Change Log'!$I$5:$I$64,'Change Log'!$L$5:$L$64,"Closed")</f>
        <v>0</v>
      </c>
    </row>
    <row r="8" customFormat="false" ht="15" hidden="false" customHeight="false" outlineLevel="0" collapsed="false">
      <c r="B8" s="19" t="s">
        <v>76</v>
      </c>
      <c r="C8" s="20" t="n">
        <f aca="false">COUNTIF('Change Log'!$L$5:$L$64,"Pending decision")</f>
        <v>1</v>
      </c>
      <c r="E8" s="19" t="s">
        <v>77</v>
      </c>
      <c r="F8" s="22" t="n">
        <f aca="false">SUMIFS('Change Log'!$I$5:$I$64,'Change Log'!$L$5:$L$64,"Pending decision")+SUMIFS('Change Log'!$I$5:$I$64,'Change Log'!$L$5:$L$64,"Under analysis")</f>
        <v>18000</v>
      </c>
    </row>
    <row r="9" customFormat="false" ht="15" hidden="false" customHeight="false" outlineLevel="0" collapsed="false">
      <c r="B9" s="19" t="s">
        <v>78</v>
      </c>
      <c r="C9" s="20" t="n">
        <f aca="false">COUNTIF('Change Log'!$L$5:$L$64,"Approved")</f>
        <v>0</v>
      </c>
      <c r="E9" s="19" t="s">
        <v>79</v>
      </c>
      <c r="F9" s="23" t="n">
        <f aca="false">IFERROR(AVERAGE('Change Log'!$Q$5:$Q$64),0)</f>
        <v>0</v>
      </c>
    </row>
    <row r="10" customFormat="false" ht="15" hidden="false" customHeight="false" outlineLevel="0" collapsed="false">
      <c r="B10" s="19" t="s">
        <v>80</v>
      </c>
      <c r="C10" s="20" t="n">
        <f aca="false">COUNTIF('Change Log'!$L$5:$L$64,"Approved with conditions")</f>
        <v>0</v>
      </c>
    </row>
    <row r="11" customFormat="false" ht="15" hidden="false" customHeight="false" outlineLevel="0" collapsed="false">
      <c r="B11" s="19" t="s">
        <v>81</v>
      </c>
      <c r="C11" s="20" t="n">
        <f aca="false">COUNTIF('Change Log'!$L$5:$L$64,"Rejected")</f>
        <v>0</v>
      </c>
    </row>
    <row r="12" customFormat="false" ht="15" hidden="false" customHeight="false" outlineLevel="0" collapsed="false">
      <c r="B12" s="19" t="s">
        <v>82</v>
      </c>
      <c r="C12" s="20" t="n">
        <f aca="false">COUNTIF('Change Log'!$L$5:$L$64,"Deferred")</f>
        <v>0</v>
      </c>
    </row>
    <row r="13" customFormat="false" ht="15" hidden="false" customHeight="false" outlineLevel="0" collapsed="false">
      <c r="B13" s="19" t="s">
        <v>83</v>
      </c>
      <c r="C13" s="20" t="n">
        <f aca="false">COUNTIF('Change Log'!$L$5:$L$64,"Implemented")</f>
        <v>0</v>
      </c>
    </row>
    <row r="14" customFormat="false" ht="15" hidden="false" customHeight="false" outlineLevel="0" collapsed="false">
      <c r="B14" s="19" t="s">
        <v>84</v>
      </c>
      <c r="C14" s="20" t="n">
        <f aca="false">COUNTIF('Change Log'!$L$5:$L$64,"Closed")</f>
        <v>0</v>
      </c>
    </row>
    <row r="15" customFormat="false" ht="15" hidden="false" customHeight="false" outlineLevel="0" collapsed="false">
      <c r="B15" s="19" t="s">
        <v>85</v>
      </c>
      <c r="C15" s="20" t="n">
        <f aca="false">COUNTA('Change Log'!$A$5:$A$64)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Q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36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5" min="13" style="0" width="11"/>
    <col collapsed="false" customWidth="true" hidden="false" outlineLevel="0" max="16" min="16" style="0" width="22"/>
    <col collapsed="false" customWidth="true" hidden="false" outlineLevel="0" max="17" min="17" style="0" width="9"/>
  </cols>
  <sheetData>
    <row r="1" customFormat="false" ht="25.5" hidden="false" customHeight="true" outlineLevel="0" collapsed="false">
      <c r="A1" s="16" t="s">
        <v>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6" hidden="false" customHeight="true" outlineLevel="0" collapsed="false"/>
    <row r="4" customFormat="false" ht="33.75" hidden="false" customHeight="true" outlineLevel="0" collapsed="false">
      <c r="A4" s="24" t="s">
        <v>87</v>
      </c>
      <c r="B4" s="24" t="s">
        <v>88</v>
      </c>
      <c r="C4" s="24" t="s">
        <v>89</v>
      </c>
      <c r="D4" s="24" t="s">
        <v>90</v>
      </c>
      <c r="E4" s="24" t="s">
        <v>91</v>
      </c>
      <c r="F4" s="24" t="s">
        <v>92</v>
      </c>
      <c r="G4" s="24" t="s">
        <v>93</v>
      </c>
      <c r="H4" s="24" t="s">
        <v>94</v>
      </c>
      <c r="I4" s="24" t="s">
        <v>95</v>
      </c>
      <c r="J4" s="24" t="s">
        <v>96</v>
      </c>
      <c r="K4" s="24" t="s">
        <v>97</v>
      </c>
      <c r="L4" s="24" t="s">
        <v>22</v>
      </c>
      <c r="M4" s="24" t="s">
        <v>98</v>
      </c>
      <c r="N4" s="24" t="s">
        <v>99</v>
      </c>
      <c r="O4" s="24" t="s">
        <v>100</v>
      </c>
      <c r="P4" s="24" t="s">
        <v>101</v>
      </c>
      <c r="Q4" s="25" t="s">
        <v>102</v>
      </c>
    </row>
    <row r="5" customFormat="false" ht="23.85" hidden="false" customHeight="false" outlineLevel="0" collapsed="false">
      <c r="A5" s="26" t="s">
        <v>103</v>
      </c>
      <c r="B5" s="26" t="s">
        <v>104</v>
      </c>
      <c r="C5" s="26" t="s">
        <v>105</v>
      </c>
      <c r="D5" s="27" t="n">
        <v>46315</v>
      </c>
      <c r="E5" s="26" t="s">
        <v>106</v>
      </c>
      <c r="F5" s="26" t="s">
        <v>107</v>
      </c>
      <c r="G5" s="26" t="s">
        <v>108</v>
      </c>
      <c r="H5" s="28" t="n">
        <v>8</v>
      </c>
      <c r="I5" s="29" t="n">
        <v>18000</v>
      </c>
      <c r="J5" s="26" t="s">
        <v>109</v>
      </c>
      <c r="K5" s="26" t="s">
        <v>110</v>
      </c>
      <c r="L5" s="26" t="s">
        <v>76</v>
      </c>
      <c r="M5" s="27"/>
      <c r="N5" s="26"/>
      <c r="O5" s="27"/>
      <c r="P5" s="26"/>
      <c r="Q5" s="30" t="str">
        <f aca="false">IF(OR(D5="",M5=""),"",M5-D5)</f>
        <v/>
      </c>
    </row>
    <row r="6" customFormat="false" ht="15" hidden="false" customHeight="false" outlineLevel="0" collapsed="false">
      <c r="A6" s="31"/>
      <c r="B6" s="31"/>
      <c r="C6" s="31"/>
      <c r="D6" s="32"/>
      <c r="E6" s="31"/>
      <c r="F6" s="31"/>
      <c r="G6" s="31"/>
      <c r="H6" s="33"/>
      <c r="I6" s="34"/>
      <c r="J6" s="31"/>
      <c r="K6" s="31"/>
      <c r="L6" s="31"/>
      <c r="M6" s="32"/>
      <c r="N6" s="31"/>
      <c r="O6" s="32"/>
      <c r="P6" s="31"/>
      <c r="Q6" s="30" t="str">
        <f aca="false">IF(OR(D6="",M6=""),"",M6-D6)</f>
        <v/>
      </c>
    </row>
    <row r="7" customFormat="false" ht="15" hidden="false" customHeight="false" outlineLevel="0" collapsed="false">
      <c r="A7" s="35"/>
      <c r="B7" s="35"/>
      <c r="C7" s="35"/>
      <c r="D7" s="36"/>
      <c r="E7" s="35"/>
      <c r="F7" s="35"/>
      <c r="G7" s="35"/>
      <c r="H7" s="37"/>
      <c r="I7" s="38"/>
      <c r="J7" s="35"/>
      <c r="K7" s="35"/>
      <c r="L7" s="35"/>
      <c r="M7" s="36"/>
      <c r="N7" s="35"/>
      <c r="O7" s="36"/>
      <c r="P7" s="35"/>
      <c r="Q7" s="30" t="str">
        <f aca="false">IF(OR(D7="",M7=""),"",M7-D7)</f>
        <v/>
      </c>
    </row>
    <row r="8" customFormat="false" ht="15" hidden="false" customHeight="false" outlineLevel="0" collapsed="false">
      <c r="A8" s="31"/>
      <c r="B8" s="31"/>
      <c r="C8" s="31"/>
      <c r="D8" s="32"/>
      <c r="E8" s="31"/>
      <c r="F8" s="31"/>
      <c r="G8" s="31"/>
      <c r="H8" s="33"/>
      <c r="I8" s="34"/>
      <c r="J8" s="31"/>
      <c r="K8" s="31"/>
      <c r="L8" s="31"/>
      <c r="M8" s="32"/>
      <c r="N8" s="31"/>
      <c r="O8" s="32"/>
      <c r="P8" s="31"/>
      <c r="Q8" s="30" t="str">
        <f aca="false">IF(OR(D8="",M8=""),"",M8-D8)</f>
        <v/>
      </c>
    </row>
    <row r="9" customFormat="false" ht="15" hidden="false" customHeight="false" outlineLevel="0" collapsed="false">
      <c r="A9" s="35"/>
      <c r="B9" s="35"/>
      <c r="C9" s="35"/>
      <c r="D9" s="36"/>
      <c r="E9" s="35"/>
      <c r="F9" s="35"/>
      <c r="G9" s="35"/>
      <c r="H9" s="37"/>
      <c r="I9" s="38"/>
      <c r="J9" s="35"/>
      <c r="K9" s="35"/>
      <c r="L9" s="35"/>
      <c r="M9" s="36"/>
      <c r="N9" s="35"/>
      <c r="O9" s="36"/>
      <c r="P9" s="35"/>
      <c r="Q9" s="30" t="str">
        <f aca="false">IF(OR(D9="",M9=""),"",M9-D9)</f>
        <v/>
      </c>
    </row>
    <row r="10" customFormat="false" ht="15" hidden="false" customHeight="false" outlineLevel="0" collapsed="false">
      <c r="A10" s="31"/>
      <c r="B10" s="31"/>
      <c r="C10" s="31"/>
      <c r="D10" s="32"/>
      <c r="E10" s="31"/>
      <c r="F10" s="31"/>
      <c r="G10" s="31"/>
      <c r="H10" s="33"/>
      <c r="I10" s="34"/>
      <c r="J10" s="31"/>
      <c r="K10" s="31"/>
      <c r="L10" s="31"/>
      <c r="M10" s="32"/>
      <c r="N10" s="31"/>
      <c r="O10" s="32"/>
      <c r="P10" s="31"/>
      <c r="Q10" s="30" t="str">
        <f aca="false">IF(OR(D10="",M10=""),"",M10-D10)</f>
        <v/>
      </c>
    </row>
    <row r="11" customFormat="false" ht="15" hidden="false" customHeight="false" outlineLevel="0" collapsed="false">
      <c r="A11" s="35"/>
      <c r="B11" s="35"/>
      <c r="C11" s="35"/>
      <c r="D11" s="36"/>
      <c r="E11" s="35"/>
      <c r="F11" s="35"/>
      <c r="G11" s="35"/>
      <c r="H11" s="37"/>
      <c r="I11" s="38"/>
      <c r="J11" s="35"/>
      <c r="K11" s="35"/>
      <c r="L11" s="35"/>
      <c r="M11" s="36"/>
      <c r="N11" s="35"/>
      <c r="O11" s="36"/>
      <c r="P11" s="35"/>
      <c r="Q11" s="30" t="str">
        <f aca="false">IF(OR(D11="",M11=""),"",M11-D11)</f>
        <v/>
      </c>
    </row>
    <row r="12" customFormat="false" ht="15" hidden="false" customHeight="false" outlineLevel="0" collapsed="false">
      <c r="A12" s="31"/>
      <c r="B12" s="31"/>
      <c r="C12" s="31"/>
      <c r="D12" s="32"/>
      <c r="E12" s="31"/>
      <c r="F12" s="31"/>
      <c r="G12" s="31"/>
      <c r="H12" s="33"/>
      <c r="I12" s="34"/>
      <c r="J12" s="31"/>
      <c r="K12" s="31"/>
      <c r="L12" s="31"/>
      <c r="M12" s="32"/>
      <c r="N12" s="31"/>
      <c r="O12" s="32"/>
      <c r="P12" s="31"/>
      <c r="Q12" s="30" t="str">
        <f aca="false">IF(OR(D12="",M12=""),"",M12-D12)</f>
        <v/>
      </c>
    </row>
    <row r="13" customFormat="false" ht="15" hidden="false" customHeight="false" outlineLevel="0" collapsed="false">
      <c r="A13" s="35"/>
      <c r="B13" s="35"/>
      <c r="C13" s="35"/>
      <c r="D13" s="36"/>
      <c r="E13" s="35"/>
      <c r="F13" s="35"/>
      <c r="G13" s="35"/>
      <c r="H13" s="37"/>
      <c r="I13" s="38"/>
      <c r="J13" s="35"/>
      <c r="K13" s="35"/>
      <c r="L13" s="35"/>
      <c r="M13" s="36"/>
      <c r="N13" s="35"/>
      <c r="O13" s="36"/>
      <c r="P13" s="35"/>
      <c r="Q13" s="30" t="str">
        <f aca="false">IF(OR(D13="",M13=""),"",M13-D13)</f>
        <v/>
      </c>
    </row>
    <row r="14" customFormat="false" ht="15" hidden="false" customHeight="false" outlineLevel="0" collapsed="false">
      <c r="A14" s="31"/>
      <c r="B14" s="31"/>
      <c r="C14" s="31"/>
      <c r="D14" s="32"/>
      <c r="E14" s="31"/>
      <c r="F14" s="31"/>
      <c r="G14" s="31"/>
      <c r="H14" s="33"/>
      <c r="I14" s="34"/>
      <c r="J14" s="31"/>
      <c r="K14" s="31"/>
      <c r="L14" s="31"/>
      <c r="M14" s="32"/>
      <c r="N14" s="31"/>
      <c r="O14" s="32"/>
      <c r="P14" s="31"/>
      <c r="Q14" s="30" t="str">
        <f aca="false">IF(OR(D14="",M14=""),"",M14-D14)</f>
        <v/>
      </c>
    </row>
    <row r="15" customFormat="false" ht="15" hidden="false" customHeight="false" outlineLevel="0" collapsed="false">
      <c r="A15" s="35"/>
      <c r="B15" s="35"/>
      <c r="C15" s="35"/>
      <c r="D15" s="36"/>
      <c r="E15" s="35"/>
      <c r="F15" s="35"/>
      <c r="G15" s="35"/>
      <c r="H15" s="37"/>
      <c r="I15" s="38"/>
      <c r="J15" s="35"/>
      <c r="K15" s="35"/>
      <c r="L15" s="35"/>
      <c r="M15" s="36"/>
      <c r="N15" s="35"/>
      <c r="O15" s="36"/>
      <c r="P15" s="35"/>
      <c r="Q15" s="30" t="str">
        <f aca="false">IF(OR(D15="",M15=""),"",M15-D15)</f>
        <v/>
      </c>
    </row>
    <row r="16" customFormat="false" ht="15" hidden="false" customHeight="false" outlineLevel="0" collapsed="false">
      <c r="A16" s="31"/>
      <c r="B16" s="31"/>
      <c r="C16" s="31"/>
      <c r="D16" s="32"/>
      <c r="E16" s="31"/>
      <c r="F16" s="31"/>
      <c r="G16" s="31"/>
      <c r="H16" s="33"/>
      <c r="I16" s="34"/>
      <c r="J16" s="31"/>
      <c r="K16" s="31"/>
      <c r="L16" s="31"/>
      <c r="M16" s="32"/>
      <c r="N16" s="31"/>
      <c r="O16" s="32"/>
      <c r="P16" s="31"/>
      <c r="Q16" s="30" t="str">
        <f aca="false">IF(OR(D16="",M16=""),"",M16-D16)</f>
        <v/>
      </c>
    </row>
    <row r="17" customFormat="false" ht="15" hidden="false" customHeight="false" outlineLevel="0" collapsed="false">
      <c r="A17" s="35"/>
      <c r="B17" s="35"/>
      <c r="C17" s="35"/>
      <c r="D17" s="36"/>
      <c r="E17" s="35"/>
      <c r="F17" s="35"/>
      <c r="G17" s="35"/>
      <c r="H17" s="37"/>
      <c r="I17" s="38"/>
      <c r="J17" s="35"/>
      <c r="K17" s="35"/>
      <c r="L17" s="35"/>
      <c r="M17" s="36"/>
      <c r="N17" s="35"/>
      <c r="O17" s="36"/>
      <c r="P17" s="35"/>
      <c r="Q17" s="30" t="str">
        <f aca="false">IF(OR(D17="",M17=""),"",M17-D17)</f>
        <v/>
      </c>
    </row>
    <row r="18" customFormat="false" ht="15" hidden="false" customHeight="false" outlineLevel="0" collapsed="false">
      <c r="A18" s="31"/>
      <c r="B18" s="31"/>
      <c r="C18" s="31"/>
      <c r="D18" s="32"/>
      <c r="E18" s="31"/>
      <c r="F18" s="31"/>
      <c r="G18" s="31"/>
      <c r="H18" s="33"/>
      <c r="I18" s="34"/>
      <c r="J18" s="31"/>
      <c r="K18" s="31"/>
      <c r="L18" s="31"/>
      <c r="M18" s="32"/>
      <c r="N18" s="31"/>
      <c r="O18" s="32"/>
      <c r="P18" s="31"/>
      <c r="Q18" s="30" t="str">
        <f aca="false">IF(OR(D18="",M18=""),"",M18-D18)</f>
        <v/>
      </c>
    </row>
    <row r="19" customFormat="false" ht="15" hidden="false" customHeight="false" outlineLevel="0" collapsed="false">
      <c r="A19" s="35"/>
      <c r="B19" s="35"/>
      <c r="C19" s="35"/>
      <c r="D19" s="36"/>
      <c r="E19" s="35"/>
      <c r="F19" s="35"/>
      <c r="G19" s="35"/>
      <c r="H19" s="37"/>
      <c r="I19" s="38"/>
      <c r="J19" s="35"/>
      <c r="K19" s="35"/>
      <c r="L19" s="35"/>
      <c r="M19" s="36"/>
      <c r="N19" s="35"/>
      <c r="O19" s="36"/>
      <c r="P19" s="35"/>
      <c r="Q19" s="30" t="str">
        <f aca="false">IF(OR(D19="",M19=""),"",M19-D19)</f>
        <v/>
      </c>
    </row>
    <row r="20" customFormat="false" ht="15" hidden="false" customHeight="false" outlineLevel="0" collapsed="false">
      <c r="A20" s="31"/>
      <c r="B20" s="31"/>
      <c r="C20" s="31"/>
      <c r="D20" s="32"/>
      <c r="E20" s="31"/>
      <c r="F20" s="31"/>
      <c r="G20" s="31"/>
      <c r="H20" s="33"/>
      <c r="I20" s="34"/>
      <c r="J20" s="31"/>
      <c r="K20" s="31"/>
      <c r="L20" s="31"/>
      <c r="M20" s="32"/>
      <c r="N20" s="31"/>
      <c r="O20" s="32"/>
      <c r="P20" s="31"/>
      <c r="Q20" s="30" t="str">
        <f aca="false">IF(OR(D20="",M20=""),"",M20-D20)</f>
        <v/>
      </c>
    </row>
    <row r="21" customFormat="false" ht="15" hidden="false" customHeight="false" outlineLevel="0" collapsed="false">
      <c r="A21" s="35"/>
      <c r="B21" s="35"/>
      <c r="C21" s="35"/>
      <c r="D21" s="36"/>
      <c r="E21" s="35"/>
      <c r="F21" s="35"/>
      <c r="G21" s="35"/>
      <c r="H21" s="37"/>
      <c r="I21" s="38"/>
      <c r="J21" s="35"/>
      <c r="K21" s="35"/>
      <c r="L21" s="35"/>
      <c r="M21" s="36"/>
      <c r="N21" s="35"/>
      <c r="O21" s="36"/>
      <c r="P21" s="35"/>
      <c r="Q21" s="30" t="str">
        <f aca="false">IF(OR(D21="",M21=""),"",M21-D21)</f>
        <v/>
      </c>
    </row>
    <row r="22" customFormat="false" ht="15" hidden="false" customHeight="false" outlineLevel="0" collapsed="false">
      <c r="A22" s="31"/>
      <c r="B22" s="31"/>
      <c r="C22" s="31"/>
      <c r="D22" s="32"/>
      <c r="E22" s="31"/>
      <c r="F22" s="31"/>
      <c r="G22" s="31"/>
      <c r="H22" s="33"/>
      <c r="I22" s="34"/>
      <c r="J22" s="31"/>
      <c r="K22" s="31"/>
      <c r="L22" s="31"/>
      <c r="M22" s="32"/>
      <c r="N22" s="31"/>
      <c r="O22" s="32"/>
      <c r="P22" s="31"/>
      <c r="Q22" s="30" t="str">
        <f aca="false">IF(OR(D22="",M22=""),"",M22-D22)</f>
        <v/>
      </c>
    </row>
    <row r="23" customFormat="false" ht="15" hidden="false" customHeight="false" outlineLevel="0" collapsed="false">
      <c r="A23" s="35"/>
      <c r="B23" s="35"/>
      <c r="C23" s="35"/>
      <c r="D23" s="36"/>
      <c r="E23" s="35"/>
      <c r="F23" s="35"/>
      <c r="G23" s="35"/>
      <c r="H23" s="37"/>
      <c r="I23" s="38"/>
      <c r="J23" s="35"/>
      <c r="K23" s="35"/>
      <c r="L23" s="35"/>
      <c r="M23" s="36"/>
      <c r="N23" s="35"/>
      <c r="O23" s="36"/>
      <c r="P23" s="35"/>
      <c r="Q23" s="30" t="str">
        <f aca="false">IF(OR(D23="",M23=""),"",M23-D23)</f>
        <v/>
      </c>
    </row>
    <row r="24" customFormat="false" ht="15" hidden="false" customHeight="false" outlineLevel="0" collapsed="false">
      <c r="A24" s="31"/>
      <c r="B24" s="31"/>
      <c r="C24" s="31"/>
      <c r="D24" s="32"/>
      <c r="E24" s="31"/>
      <c r="F24" s="31"/>
      <c r="G24" s="31"/>
      <c r="H24" s="33"/>
      <c r="I24" s="34"/>
      <c r="J24" s="31"/>
      <c r="K24" s="31"/>
      <c r="L24" s="31"/>
      <c r="M24" s="32"/>
      <c r="N24" s="31"/>
      <c r="O24" s="32"/>
      <c r="P24" s="31"/>
      <c r="Q24" s="30" t="str">
        <f aca="false">IF(OR(D24="",M24=""),"",M24-D24)</f>
        <v/>
      </c>
    </row>
    <row r="25" customFormat="false" ht="15" hidden="false" customHeight="false" outlineLevel="0" collapsed="false">
      <c r="A25" s="35"/>
      <c r="B25" s="35"/>
      <c r="C25" s="35"/>
      <c r="D25" s="36"/>
      <c r="E25" s="35"/>
      <c r="F25" s="35"/>
      <c r="G25" s="35"/>
      <c r="H25" s="37"/>
      <c r="I25" s="38"/>
      <c r="J25" s="35"/>
      <c r="K25" s="35"/>
      <c r="L25" s="35"/>
      <c r="M25" s="36"/>
      <c r="N25" s="35"/>
      <c r="O25" s="36"/>
      <c r="P25" s="35"/>
      <c r="Q25" s="30" t="str">
        <f aca="false">IF(OR(D25="",M25=""),"",M25-D25)</f>
        <v/>
      </c>
    </row>
    <row r="26" customFormat="false" ht="15" hidden="false" customHeight="false" outlineLevel="0" collapsed="false">
      <c r="A26" s="31"/>
      <c r="B26" s="31"/>
      <c r="C26" s="31"/>
      <c r="D26" s="32"/>
      <c r="E26" s="31"/>
      <c r="F26" s="31"/>
      <c r="G26" s="31"/>
      <c r="H26" s="33"/>
      <c r="I26" s="34"/>
      <c r="J26" s="31"/>
      <c r="K26" s="31"/>
      <c r="L26" s="31"/>
      <c r="M26" s="32"/>
      <c r="N26" s="31"/>
      <c r="O26" s="32"/>
      <c r="P26" s="31"/>
      <c r="Q26" s="30" t="str">
        <f aca="false">IF(OR(D26="",M26=""),"",M26-D26)</f>
        <v/>
      </c>
    </row>
    <row r="27" customFormat="false" ht="15" hidden="false" customHeight="false" outlineLevel="0" collapsed="false">
      <c r="A27" s="35"/>
      <c r="B27" s="35"/>
      <c r="C27" s="35"/>
      <c r="D27" s="36"/>
      <c r="E27" s="35"/>
      <c r="F27" s="35"/>
      <c r="G27" s="35"/>
      <c r="H27" s="37"/>
      <c r="I27" s="38"/>
      <c r="J27" s="35"/>
      <c r="K27" s="35"/>
      <c r="L27" s="35"/>
      <c r="M27" s="36"/>
      <c r="N27" s="35"/>
      <c r="O27" s="36"/>
      <c r="P27" s="35"/>
      <c r="Q27" s="30" t="str">
        <f aca="false">IF(OR(D27="",M27=""),"",M27-D27)</f>
        <v/>
      </c>
    </row>
    <row r="28" customFormat="false" ht="15" hidden="false" customHeight="false" outlineLevel="0" collapsed="false">
      <c r="A28" s="31"/>
      <c r="B28" s="31"/>
      <c r="C28" s="31"/>
      <c r="D28" s="32"/>
      <c r="E28" s="31"/>
      <c r="F28" s="31"/>
      <c r="G28" s="31"/>
      <c r="H28" s="33"/>
      <c r="I28" s="34"/>
      <c r="J28" s="31"/>
      <c r="K28" s="31"/>
      <c r="L28" s="31"/>
      <c r="M28" s="32"/>
      <c r="N28" s="31"/>
      <c r="O28" s="32"/>
      <c r="P28" s="31"/>
      <c r="Q28" s="30" t="str">
        <f aca="false">IF(OR(D28="",M28=""),"",M28-D28)</f>
        <v/>
      </c>
    </row>
    <row r="29" customFormat="false" ht="15" hidden="false" customHeight="false" outlineLevel="0" collapsed="false">
      <c r="A29" s="35"/>
      <c r="B29" s="35"/>
      <c r="C29" s="35"/>
      <c r="D29" s="36"/>
      <c r="E29" s="35"/>
      <c r="F29" s="35"/>
      <c r="G29" s="35"/>
      <c r="H29" s="37"/>
      <c r="I29" s="38"/>
      <c r="J29" s="35"/>
      <c r="K29" s="35"/>
      <c r="L29" s="35"/>
      <c r="M29" s="36"/>
      <c r="N29" s="35"/>
      <c r="O29" s="36"/>
      <c r="P29" s="35"/>
      <c r="Q29" s="30" t="str">
        <f aca="false">IF(OR(D29="",M29=""),"",M29-D29)</f>
        <v/>
      </c>
    </row>
    <row r="30" customFormat="false" ht="15" hidden="false" customHeight="false" outlineLevel="0" collapsed="false">
      <c r="A30" s="31"/>
      <c r="B30" s="31"/>
      <c r="C30" s="31"/>
      <c r="D30" s="32"/>
      <c r="E30" s="31"/>
      <c r="F30" s="31"/>
      <c r="G30" s="31"/>
      <c r="H30" s="33"/>
      <c r="I30" s="34"/>
      <c r="J30" s="31"/>
      <c r="K30" s="31"/>
      <c r="L30" s="31"/>
      <c r="M30" s="32"/>
      <c r="N30" s="31"/>
      <c r="O30" s="32"/>
      <c r="P30" s="31"/>
      <c r="Q30" s="30" t="str">
        <f aca="false">IF(OR(D30="",M30=""),"",M30-D30)</f>
        <v/>
      </c>
    </row>
    <row r="31" customFormat="false" ht="15" hidden="false" customHeight="false" outlineLevel="0" collapsed="false">
      <c r="A31" s="35"/>
      <c r="B31" s="35"/>
      <c r="C31" s="35"/>
      <c r="D31" s="36"/>
      <c r="E31" s="35"/>
      <c r="F31" s="35"/>
      <c r="G31" s="35"/>
      <c r="H31" s="37"/>
      <c r="I31" s="38"/>
      <c r="J31" s="35"/>
      <c r="K31" s="35"/>
      <c r="L31" s="35"/>
      <c r="M31" s="36"/>
      <c r="N31" s="35"/>
      <c r="O31" s="36"/>
      <c r="P31" s="35"/>
      <c r="Q31" s="30" t="str">
        <f aca="false">IF(OR(D31="",M31=""),"",M31-D31)</f>
        <v/>
      </c>
    </row>
    <row r="32" customFormat="false" ht="15" hidden="false" customHeight="false" outlineLevel="0" collapsed="false">
      <c r="A32" s="31"/>
      <c r="B32" s="31"/>
      <c r="C32" s="31"/>
      <c r="D32" s="32"/>
      <c r="E32" s="31"/>
      <c r="F32" s="31"/>
      <c r="G32" s="31"/>
      <c r="H32" s="33"/>
      <c r="I32" s="34"/>
      <c r="J32" s="31"/>
      <c r="K32" s="31"/>
      <c r="L32" s="31"/>
      <c r="M32" s="32"/>
      <c r="N32" s="31"/>
      <c r="O32" s="32"/>
      <c r="P32" s="31"/>
      <c r="Q32" s="30" t="str">
        <f aca="false">IF(OR(D32="",M32=""),"",M32-D32)</f>
        <v/>
      </c>
    </row>
    <row r="33" customFormat="false" ht="15" hidden="false" customHeight="false" outlineLevel="0" collapsed="false">
      <c r="A33" s="35"/>
      <c r="B33" s="35"/>
      <c r="C33" s="35"/>
      <c r="D33" s="36"/>
      <c r="E33" s="35"/>
      <c r="F33" s="35"/>
      <c r="G33" s="35"/>
      <c r="H33" s="37"/>
      <c r="I33" s="38"/>
      <c r="J33" s="35"/>
      <c r="K33" s="35"/>
      <c r="L33" s="35"/>
      <c r="M33" s="36"/>
      <c r="N33" s="35"/>
      <c r="O33" s="36"/>
      <c r="P33" s="35"/>
      <c r="Q33" s="30" t="str">
        <f aca="false">IF(OR(D33="",M33=""),"",M33-D33)</f>
        <v/>
      </c>
    </row>
    <row r="34" customFormat="false" ht="15" hidden="false" customHeight="false" outlineLevel="0" collapsed="false">
      <c r="A34" s="31"/>
      <c r="B34" s="31"/>
      <c r="C34" s="31"/>
      <c r="D34" s="32"/>
      <c r="E34" s="31"/>
      <c r="F34" s="31"/>
      <c r="G34" s="31"/>
      <c r="H34" s="33"/>
      <c r="I34" s="34"/>
      <c r="J34" s="31"/>
      <c r="K34" s="31"/>
      <c r="L34" s="31"/>
      <c r="M34" s="32"/>
      <c r="N34" s="31"/>
      <c r="O34" s="32"/>
      <c r="P34" s="31"/>
      <c r="Q34" s="30" t="str">
        <f aca="false">IF(OR(D34="",M34=""),"",M34-D34)</f>
        <v/>
      </c>
    </row>
    <row r="35" customFormat="false" ht="15" hidden="false" customHeight="false" outlineLevel="0" collapsed="false">
      <c r="A35" s="35"/>
      <c r="B35" s="35"/>
      <c r="C35" s="35"/>
      <c r="D35" s="36"/>
      <c r="E35" s="35"/>
      <c r="F35" s="35"/>
      <c r="G35" s="35"/>
      <c r="H35" s="37"/>
      <c r="I35" s="38"/>
      <c r="J35" s="35"/>
      <c r="K35" s="35"/>
      <c r="L35" s="35"/>
      <c r="M35" s="36"/>
      <c r="N35" s="35"/>
      <c r="O35" s="36"/>
      <c r="P35" s="35"/>
      <c r="Q35" s="30" t="str">
        <f aca="false">IF(OR(D35="",M35=""),"",M35-D35)</f>
        <v/>
      </c>
    </row>
    <row r="36" customFormat="false" ht="15" hidden="false" customHeight="false" outlineLevel="0" collapsed="false">
      <c r="A36" s="31"/>
      <c r="B36" s="31"/>
      <c r="C36" s="31"/>
      <c r="D36" s="32"/>
      <c r="E36" s="31"/>
      <c r="F36" s="31"/>
      <c r="G36" s="31"/>
      <c r="H36" s="33"/>
      <c r="I36" s="34"/>
      <c r="J36" s="31"/>
      <c r="K36" s="31"/>
      <c r="L36" s="31"/>
      <c r="M36" s="32"/>
      <c r="N36" s="31"/>
      <c r="O36" s="32"/>
      <c r="P36" s="31"/>
      <c r="Q36" s="30" t="str">
        <f aca="false">IF(OR(D36="",M36=""),"",M36-D36)</f>
        <v/>
      </c>
    </row>
    <row r="37" customFormat="false" ht="15" hidden="false" customHeight="false" outlineLevel="0" collapsed="false">
      <c r="A37" s="35"/>
      <c r="B37" s="35"/>
      <c r="C37" s="35"/>
      <c r="D37" s="36"/>
      <c r="E37" s="35"/>
      <c r="F37" s="35"/>
      <c r="G37" s="35"/>
      <c r="H37" s="37"/>
      <c r="I37" s="38"/>
      <c r="J37" s="35"/>
      <c r="K37" s="35"/>
      <c r="L37" s="35"/>
      <c r="M37" s="36"/>
      <c r="N37" s="35"/>
      <c r="O37" s="36"/>
      <c r="P37" s="35"/>
      <c r="Q37" s="30" t="str">
        <f aca="false">IF(OR(D37="",M37=""),"",M37-D37)</f>
        <v/>
      </c>
    </row>
    <row r="38" customFormat="false" ht="15" hidden="false" customHeight="false" outlineLevel="0" collapsed="false">
      <c r="A38" s="31"/>
      <c r="B38" s="31"/>
      <c r="C38" s="31"/>
      <c r="D38" s="32"/>
      <c r="E38" s="31"/>
      <c r="F38" s="31"/>
      <c r="G38" s="31"/>
      <c r="H38" s="33"/>
      <c r="I38" s="34"/>
      <c r="J38" s="31"/>
      <c r="K38" s="31"/>
      <c r="L38" s="31"/>
      <c r="M38" s="32"/>
      <c r="N38" s="31"/>
      <c r="O38" s="32"/>
      <c r="P38" s="31"/>
      <c r="Q38" s="30" t="str">
        <f aca="false">IF(OR(D38="",M38=""),"",M38-D38)</f>
        <v/>
      </c>
    </row>
    <row r="39" customFormat="false" ht="15" hidden="false" customHeight="false" outlineLevel="0" collapsed="false">
      <c r="A39" s="35"/>
      <c r="B39" s="35"/>
      <c r="C39" s="35"/>
      <c r="D39" s="36"/>
      <c r="E39" s="35"/>
      <c r="F39" s="35"/>
      <c r="G39" s="35"/>
      <c r="H39" s="37"/>
      <c r="I39" s="38"/>
      <c r="J39" s="35"/>
      <c r="K39" s="35"/>
      <c r="L39" s="35"/>
      <c r="M39" s="36"/>
      <c r="N39" s="35"/>
      <c r="O39" s="36"/>
      <c r="P39" s="35"/>
      <c r="Q39" s="30" t="str">
        <f aca="false">IF(OR(D39="",M39=""),"",M39-D39)</f>
        <v/>
      </c>
    </row>
    <row r="40" customFormat="false" ht="15" hidden="false" customHeight="false" outlineLevel="0" collapsed="false">
      <c r="A40" s="31"/>
      <c r="B40" s="31"/>
      <c r="C40" s="31"/>
      <c r="D40" s="32"/>
      <c r="E40" s="31"/>
      <c r="F40" s="31"/>
      <c r="G40" s="31"/>
      <c r="H40" s="33"/>
      <c r="I40" s="34"/>
      <c r="J40" s="31"/>
      <c r="K40" s="31"/>
      <c r="L40" s="31"/>
      <c r="M40" s="32"/>
      <c r="N40" s="31"/>
      <c r="O40" s="32"/>
      <c r="P40" s="31"/>
      <c r="Q40" s="30" t="str">
        <f aca="false">IF(OR(D40="",M40=""),"",M40-D40)</f>
        <v/>
      </c>
    </row>
    <row r="41" customFormat="false" ht="15" hidden="false" customHeight="false" outlineLevel="0" collapsed="false">
      <c r="A41" s="35"/>
      <c r="B41" s="35"/>
      <c r="C41" s="35"/>
      <c r="D41" s="36"/>
      <c r="E41" s="35"/>
      <c r="F41" s="35"/>
      <c r="G41" s="35"/>
      <c r="H41" s="37"/>
      <c r="I41" s="38"/>
      <c r="J41" s="35"/>
      <c r="K41" s="35"/>
      <c r="L41" s="35"/>
      <c r="M41" s="36"/>
      <c r="N41" s="35"/>
      <c r="O41" s="36"/>
      <c r="P41" s="35"/>
      <c r="Q41" s="30" t="str">
        <f aca="false">IF(OR(D41="",M41=""),"",M41-D41)</f>
        <v/>
      </c>
    </row>
    <row r="42" customFormat="false" ht="15" hidden="false" customHeight="false" outlineLevel="0" collapsed="false">
      <c r="A42" s="31"/>
      <c r="B42" s="31"/>
      <c r="C42" s="31"/>
      <c r="D42" s="32"/>
      <c r="E42" s="31"/>
      <c r="F42" s="31"/>
      <c r="G42" s="31"/>
      <c r="H42" s="33"/>
      <c r="I42" s="34"/>
      <c r="J42" s="31"/>
      <c r="K42" s="31"/>
      <c r="L42" s="31"/>
      <c r="M42" s="32"/>
      <c r="N42" s="31"/>
      <c r="O42" s="32"/>
      <c r="P42" s="31"/>
      <c r="Q42" s="30" t="str">
        <f aca="false">IF(OR(D42="",M42=""),"",M42-D42)</f>
        <v/>
      </c>
    </row>
    <row r="43" customFormat="false" ht="15" hidden="false" customHeight="false" outlineLevel="0" collapsed="false">
      <c r="A43" s="35"/>
      <c r="B43" s="35"/>
      <c r="C43" s="35"/>
      <c r="D43" s="36"/>
      <c r="E43" s="35"/>
      <c r="F43" s="35"/>
      <c r="G43" s="35"/>
      <c r="H43" s="37"/>
      <c r="I43" s="38"/>
      <c r="J43" s="35"/>
      <c r="K43" s="35"/>
      <c r="L43" s="35"/>
      <c r="M43" s="36"/>
      <c r="N43" s="35"/>
      <c r="O43" s="36"/>
      <c r="P43" s="35"/>
      <c r="Q43" s="30" t="str">
        <f aca="false">IF(OR(D43="",M43=""),"",M43-D43)</f>
        <v/>
      </c>
    </row>
    <row r="44" customFormat="false" ht="15" hidden="false" customHeight="false" outlineLevel="0" collapsed="false">
      <c r="A44" s="31"/>
      <c r="B44" s="31"/>
      <c r="C44" s="31"/>
      <c r="D44" s="32"/>
      <c r="E44" s="31"/>
      <c r="F44" s="31"/>
      <c r="G44" s="31"/>
      <c r="H44" s="33"/>
      <c r="I44" s="34"/>
      <c r="J44" s="31"/>
      <c r="K44" s="31"/>
      <c r="L44" s="31"/>
      <c r="M44" s="32"/>
      <c r="N44" s="31"/>
      <c r="O44" s="32"/>
      <c r="P44" s="31"/>
      <c r="Q44" s="30" t="str">
        <f aca="false">IF(OR(D44="",M44=""),"",M44-D44)</f>
        <v/>
      </c>
    </row>
    <row r="45" customFormat="false" ht="15" hidden="false" customHeight="false" outlineLevel="0" collapsed="false">
      <c r="A45" s="35"/>
      <c r="B45" s="35"/>
      <c r="C45" s="35"/>
      <c r="D45" s="36"/>
      <c r="E45" s="35"/>
      <c r="F45" s="35"/>
      <c r="G45" s="35"/>
      <c r="H45" s="37"/>
      <c r="I45" s="38"/>
      <c r="J45" s="35"/>
      <c r="K45" s="35"/>
      <c r="L45" s="35"/>
      <c r="M45" s="36"/>
      <c r="N45" s="35"/>
      <c r="O45" s="36"/>
      <c r="P45" s="35"/>
      <c r="Q45" s="30" t="str">
        <f aca="false">IF(OR(D45="",M45=""),"",M45-D45)</f>
        <v/>
      </c>
    </row>
    <row r="46" customFormat="false" ht="15" hidden="false" customHeight="false" outlineLevel="0" collapsed="false">
      <c r="A46" s="31"/>
      <c r="B46" s="31"/>
      <c r="C46" s="31"/>
      <c r="D46" s="32"/>
      <c r="E46" s="31"/>
      <c r="F46" s="31"/>
      <c r="G46" s="31"/>
      <c r="H46" s="33"/>
      <c r="I46" s="34"/>
      <c r="J46" s="31"/>
      <c r="K46" s="31"/>
      <c r="L46" s="31"/>
      <c r="M46" s="32"/>
      <c r="N46" s="31"/>
      <c r="O46" s="32"/>
      <c r="P46" s="31"/>
      <c r="Q46" s="30" t="str">
        <f aca="false">IF(OR(D46="",M46=""),"",M46-D46)</f>
        <v/>
      </c>
    </row>
    <row r="47" customFormat="false" ht="15" hidden="false" customHeight="false" outlineLevel="0" collapsed="false">
      <c r="A47" s="35"/>
      <c r="B47" s="35"/>
      <c r="C47" s="35"/>
      <c r="D47" s="36"/>
      <c r="E47" s="35"/>
      <c r="F47" s="35"/>
      <c r="G47" s="35"/>
      <c r="H47" s="37"/>
      <c r="I47" s="38"/>
      <c r="J47" s="35"/>
      <c r="K47" s="35"/>
      <c r="L47" s="35"/>
      <c r="M47" s="36"/>
      <c r="N47" s="35"/>
      <c r="O47" s="36"/>
      <c r="P47" s="35"/>
      <c r="Q47" s="30" t="str">
        <f aca="false">IF(OR(D47="",M47=""),"",M47-D47)</f>
        <v/>
      </c>
    </row>
    <row r="48" customFormat="false" ht="15" hidden="false" customHeight="false" outlineLevel="0" collapsed="false">
      <c r="A48" s="31"/>
      <c r="B48" s="31"/>
      <c r="C48" s="31"/>
      <c r="D48" s="32"/>
      <c r="E48" s="31"/>
      <c r="F48" s="31"/>
      <c r="G48" s="31"/>
      <c r="H48" s="33"/>
      <c r="I48" s="34"/>
      <c r="J48" s="31"/>
      <c r="K48" s="31"/>
      <c r="L48" s="31"/>
      <c r="M48" s="32"/>
      <c r="N48" s="31"/>
      <c r="O48" s="32"/>
      <c r="P48" s="31"/>
      <c r="Q48" s="30" t="str">
        <f aca="false">IF(OR(D48="",M48=""),"",M48-D48)</f>
        <v/>
      </c>
    </row>
    <row r="49" customFormat="false" ht="15" hidden="false" customHeight="false" outlineLevel="0" collapsed="false">
      <c r="A49" s="35"/>
      <c r="B49" s="35"/>
      <c r="C49" s="35"/>
      <c r="D49" s="36"/>
      <c r="E49" s="35"/>
      <c r="F49" s="35"/>
      <c r="G49" s="35"/>
      <c r="H49" s="37"/>
      <c r="I49" s="38"/>
      <c r="J49" s="35"/>
      <c r="K49" s="35"/>
      <c r="L49" s="35"/>
      <c r="M49" s="36"/>
      <c r="N49" s="35"/>
      <c r="O49" s="36"/>
      <c r="P49" s="35"/>
      <c r="Q49" s="30" t="str">
        <f aca="false">IF(OR(D49="",M49=""),"",M49-D49)</f>
        <v/>
      </c>
    </row>
    <row r="50" customFormat="false" ht="15" hidden="false" customHeight="false" outlineLevel="0" collapsed="false">
      <c r="A50" s="31"/>
      <c r="B50" s="31"/>
      <c r="C50" s="31"/>
      <c r="D50" s="32"/>
      <c r="E50" s="31"/>
      <c r="F50" s="31"/>
      <c r="G50" s="31"/>
      <c r="H50" s="33"/>
      <c r="I50" s="34"/>
      <c r="J50" s="31"/>
      <c r="K50" s="31"/>
      <c r="L50" s="31"/>
      <c r="M50" s="32"/>
      <c r="N50" s="31"/>
      <c r="O50" s="32"/>
      <c r="P50" s="31"/>
      <c r="Q50" s="30" t="str">
        <f aca="false">IF(OR(D50="",M50=""),"",M50-D50)</f>
        <v/>
      </c>
    </row>
    <row r="51" customFormat="false" ht="15" hidden="false" customHeight="false" outlineLevel="0" collapsed="false">
      <c r="A51" s="35"/>
      <c r="B51" s="35"/>
      <c r="C51" s="35"/>
      <c r="D51" s="36"/>
      <c r="E51" s="35"/>
      <c r="F51" s="35"/>
      <c r="G51" s="35"/>
      <c r="H51" s="37"/>
      <c r="I51" s="38"/>
      <c r="J51" s="35"/>
      <c r="K51" s="35"/>
      <c r="L51" s="35"/>
      <c r="M51" s="36"/>
      <c r="N51" s="35"/>
      <c r="O51" s="36"/>
      <c r="P51" s="35"/>
      <c r="Q51" s="30" t="str">
        <f aca="false">IF(OR(D51="",M51=""),"",M51-D51)</f>
        <v/>
      </c>
    </row>
    <row r="52" customFormat="false" ht="15" hidden="false" customHeight="false" outlineLevel="0" collapsed="false">
      <c r="A52" s="31"/>
      <c r="B52" s="31"/>
      <c r="C52" s="31"/>
      <c r="D52" s="32"/>
      <c r="E52" s="31"/>
      <c r="F52" s="31"/>
      <c r="G52" s="31"/>
      <c r="H52" s="33"/>
      <c r="I52" s="34"/>
      <c r="J52" s="31"/>
      <c r="K52" s="31"/>
      <c r="L52" s="31"/>
      <c r="M52" s="32"/>
      <c r="N52" s="31"/>
      <c r="O52" s="32"/>
      <c r="P52" s="31"/>
      <c r="Q52" s="30" t="str">
        <f aca="false">IF(OR(D52="",M52=""),"",M52-D52)</f>
        <v/>
      </c>
    </row>
    <row r="53" customFormat="false" ht="15" hidden="false" customHeight="false" outlineLevel="0" collapsed="false">
      <c r="A53" s="35"/>
      <c r="B53" s="35"/>
      <c r="C53" s="35"/>
      <c r="D53" s="36"/>
      <c r="E53" s="35"/>
      <c r="F53" s="35"/>
      <c r="G53" s="35"/>
      <c r="H53" s="37"/>
      <c r="I53" s="38"/>
      <c r="J53" s="35"/>
      <c r="K53" s="35"/>
      <c r="L53" s="35"/>
      <c r="M53" s="36"/>
      <c r="N53" s="35"/>
      <c r="O53" s="36"/>
      <c r="P53" s="35"/>
      <c r="Q53" s="30" t="str">
        <f aca="false">IF(OR(D53="",M53=""),"",M53-D53)</f>
        <v/>
      </c>
    </row>
    <row r="54" customFormat="false" ht="15" hidden="false" customHeight="false" outlineLevel="0" collapsed="false">
      <c r="A54" s="31"/>
      <c r="B54" s="31"/>
      <c r="C54" s="31"/>
      <c r="D54" s="32"/>
      <c r="E54" s="31"/>
      <c r="F54" s="31"/>
      <c r="G54" s="31"/>
      <c r="H54" s="33"/>
      <c r="I54" s="34"/>
      <c r="J54" s="31"/>
      <c r="K54" s="31"/>
      <c r="L54" s="31"/>
      <c r="M54" s="32"/>
      <c r="N54" s="31"/>
      <c r="O54" s="32"/>
      <c r="P54" s="31"/>
      <c r="Q54" s="30" t="str">
        <f aca="false">IF(OR(D54="",M54=""),"",M54-D54)</f>
        <v/>
      </c>
    </row>
    <row r="55" customFormat="false" ht="15" hidden="false" customHeight="false" outlineLevel="0" collapsed="false">
      <c r="A55" s="35"/>
      <c r="B55" s="35"/>
      <c r="C55" s="35"/>
      <c r="D55" s="36"/>
      <c r="E55" s="35"/>
      <c r="F55" s="35"/>
      <c r="G55" s="35"/>
      <c r="H55" s="37"/>
      <c r="I55" s="38"/>
      <c r="J55" s="35"/>
      <c r="K55" s="35"/>
      <c r="L55" s="35"/>
      <c r="M55" s="36"/>
      <c r="N55" s="35"/>
      <c r="O55" s="36"/>
      <c r="P55" s="35"/>
      <c r="Q55" s="30" t="str">
        <f aca="false">IF(OR(D55="",M55=""),"",M55-D55)</f>
        <v/>
      </c>
    </row>
    <row r="56" customFormat="false" ht="15" hidden="false" customHeight="false" outlineLevel="0" collapsed="false">
      <c r="A56" s="31"/>
      <c r="B56" s="31"/>
      <c r="C56" s="31"/>
      <c r="D56" s="32"/>
      <c r="E56" s="31"/>
      <c r="F56" s="31"/>
      <c r="G56" s="31"/>
      <c r="H56" s="33"/>
      <c r="I56" s="34"/>
      <c r="J56" s="31"/>
      <c r="K56" s="31"/>
      <c r="L56" s="31"/>
      <c r="M56" s="32"/>
      <c r="N56" s="31"/>
      <c r="O56" s="32"/>
      <c r="P56" s="31"/>
      <c r="Q56" s="30" t="str">
        <f aca="false">IF(OR(D56="",M56=""),"",M56-D56)</f>
        <v/>
      </c>
    </row>
    <row r="57" customFormat="false" ht="15" hidden="false" customHeight="false" outlineLevel="0" collapsed="false">
      <c r="A57" s="35"/>
      <c r="B57" s="35"/>
      <c r="C57" s="35"/>
      <c r="D57" s="36"/>
      <c r="E57" s="35"/>
      <c r="F57" s="35"/>
      <c r="G57" s="35"/>
      <c r="H57" s="37"/>
      <c r="I57" s="38"/>
      <c r="J57" s="35"/>
      <c r="K57" s="35"/>
      <c r="L57" s="35"/>
      <c r="M57" s="36"/>
      <c r="N57" s="35"/>
      <c r="O57" s="36"/>
      <c r="P57" s="35"/>
      <c r="Q57" s="30" t="str">
        <f aca="false">IF(OR(D57="",M57=""),"",M57-D57)</f>
        <v/>
      </c>
    </row>
    <row r="58" customFormat="false" ht="15" hidden="false" customHeight="false" outlineLevel="0" collapsed="false">
      <c r="A58" s="31"/>
      <c r="B58" s="31"/>
      <c r="C58" s="31"/>
      <c r="D58" s="32"/>
      <c r="E58" s="31"/>
      <c r="F58" s="31"/>
      <c r="G58" s="31"/>
      <c r="H58" s="33"/>
      <c r="I58" s="34"/>
      <c r="J58" s="31"/>
      <c r="K58" s="31"/>
      <c r="L58" s="31"/>
      <c r="M58" s="32"/>
      <c r="N58" s="31"/>
      <c r="O58" s="32"/>
      <c r="P58" s="31"/>
      <c r="Q58" s="30" t="str">
        <f aca="false">IF(OR(D58="",M58=""),"",M58-D58)</f>
        <v/>
      </c>
    </row>
    <row r="59" customFormat="false" ht="15" hidden="false" customHeight="false" outlineLevel="0" collapsed="false">
      <c r="A59" s="35"/>
      <c r="B59" s="35"/>
      <c r="C59" s="35"/>
      <c r="D59" s="36"/>
      <c r="E59" s="35"/>
      <c r="F59" s="35"/>
      <c r="G59" s="35"/>
      <c r="H59" s="37"/>
      <c r="I59" s="38"/>
      <c r="J59" s="35"/>
      <c r="K59" s="35"/>
      <c r="L59" s="35"/>
      <c r="M59" s="36"/>
      <c r="N59" s="35"/>
      <c r="O59" s="36"/>
      <c r="P59" s="35"/>
      <c r="Q59" s="30" t="str">
        <f aca="false">IF(OR(D59="",M59=""),"",M59-D59)</f>
        <v/>
      </c>
    </row>
    <row r="60" customFormat="false" ht="15" hidden="false" customHeight="false" outlineLevel="0" collapsed="false">
      <c r="A60" s="31"/>
      <c r="B60" s="31"/>
      <c r="C60" s="31"/>
      <c r="D60" s="32"/>
      <c r="E60" s="31"/>
      <c r="F60" s="31"/>
      <c r="G60" s="31"/>
      <c r="H60" s="33"/>
      <c r="I60" s="34"/>
      <c r="J60" s="31"/>
      <c r="K60" s="31"/>
      <c r="L60" s="31"/>
      <c r="M60" s="32"/>
      <c r="N60" s="31"/>
      <c r="O60" s="32"/>
      <c r="P60" s="31"/>
      <c r="Q60" s="30" t="str">
        <f aca="false">IF(OR(D60="",M60=""),"",M60-D60)</f>
        <v/>
      </c>
    </row>
    <row r="61" customFormat="false" ht="15" hidden="false" customHeight="false" outlineLevel="0" collapsed="false">
      <c r="A61" s="35"/>
      <c r="B61" s="35"/>
      <c r="C61" s="35"/>
      <c r="D61" s="36"/>
      <c r="E61" s="35"/>
      <c r="F61" s="35"/>
      <c r="G61" s="35"/>
      <c r="H61" s="37"/>
      <c r="I61" s="38"/>
      <c r="J61" s="35"/>
      <c r="K61" s="35"/>
      <c r="L61" s="35"/>
      <c r="M61" s="36"/>
      <c r="N61" s="35"/>
      <c r="O61" s="36"/>
      <c r="P61" s="35"/>
      <c r="Q61" s="30" t="str">
        <f aca="false">IF(OR(D61="",M61=""),"",M61-D61)</f>
        <v/>
      </c>
    </row>
    <row r="62" customFormat="false" ht="15" hidden="false" customHeight="false" outlineLevel="0" collapsed="false">
      <c r="A62" s="31"/>
      <c r="B62" s="31"/>
      <c r="C62" s="31"/>
      <c r="D62" s="32"/>
      <c r="E62" s="31"/>
      <c r="F62" s="31"/>
      <c r="G62" s="31"/>
      <c r="H62" s="33"/>
      <c r="I62" s="34"/>
      <c r="J62" s="31"/>
      <c r="K62" s="31"/>
      <c r="L62" s="31"/>
      <c r="M62" s="32"/>
      <c r="N62" s="31"/>
      <c r="O62" s="32"/>
      <c r="P62" s="31"/>
      <c r="Q62" s="30" t="str">
        <f aca="false">IF(OR(D62="",M62=""),"",M62-D62)</f>
        <v/>
      </c>
    </row>
    <row r="63" customFormat="false" ht="15" hidden="false" customHeight="false" outlineLevel="0" collapsed="false">
      <c r="A63" s="35"/>
      <c r="B63" s="35"/>
      <c r="C63" s="35"/>
      <c r="D63" s="36"/>
      <c r="E63" s="35"/>
      <c r="F63" s="35"/>
      <c r="G63" s="35"/>
      <c r="H63" s="37"/>
      <c r="I63" s="38"/>
      <c r="J63" s="35"/>
      <c r="K63" s="35"/>
      <c r="L63" s="35"/>
      <c r="M63" s="36"/>
      <c r="N63" s="35"/>
      <c r="O63" s="36"/>
      <c r="P63" s="35"/>
      <c r="Q63" s="30" t="str">
        <f aca="false">IF(OR(D63="",M63=""),"",M63-D63)</f>
        <v/>
      </c>
    </row>
    <row r="64" customFormat="false" ht="15" hidden="false" customHeight="false" outlineLevel="0" collapsed="false">
      <c r="A64" s="31"/>
      <c r="B64" s="31"/>
      <c r="C64" s="31"/>
      <c r="D64" s="32"/>
      <c r="E64" s="31"/>
      <c r="F64" s="31"/>
      <c r="G64" s="31"/>
      <c r="H64" s="33"/>
      <c r="I64" s="34"/>
      <c r="J64" s="31"/>
      <c r="K64" s="31"/>
      <c r="L64" s="31"/>
      <c r="M64" s="32"/>
      <c r="N64" s="31"/>
      <c r="O64" s="32"/>
      <c r="P64" s="31"/>
      <c r="Q64" s="30" t="str">
        <f aca="false">IF(OR(D64="",M64=""),"",M64-D64)</f>
        <v/>
      </c>
    </row>
  </sheetData>
  <autoFilter ref="A4:Q64"/>
  <mergeCells count="2">
    <mergeCell ref="A1:Q1"/>
    <mergeCell ref="A2:Q2"/>
  </mergeCells>
  <conditionalFormatting sqref="L5:L64">
    <cfRule type="cellIs" priority="2" operator="equal" aboveAverage="0" equalAverage="0" bottom="0" percent="0" rank="0" text="" dxfId="10">
      <formula>"Approved"</formula>
    </cfRule>
    <cfRule type="cellIs" priority="3" operator="equal" aboveAverage="0" equalAverage="0" bottom="0" percent="0" rank="0" text="" dxfId="10">
      <formula>"Approved with conditions"</formula>
    </cfRule>
    <cfRule type="cellIs" priority="4" operator="equal" aboveAverage="0" equalAverage="0" bottom="0" percent="0" rank="0" text="" dxfId="11">
      <formula>"Rejected"</formula>
    </cfRule>
    <cfRule type="cellIs" priority="5" operator="equal" aboveAverage="0" equalAverage="0" bottom="0" percent="0" rank="0" text="" dxfId="12">
      <formula>"Pending decision"</formula>
    </cfRule>
    <cfRule type="cellIs" priority="6" operator="equal" aboveAverage="0" equalAverage="0" bottom="0" percent="0" rank="0" text="" dxfId="13">
      <formula>"Implemented"</formula>
    </cfRule>
    <cfRule type="cellIs" priority="7" operator="equal" aboveAverage="0" equalAverage="0" bottom="0" percent="0" rank="0" text="" dxfId="14">
      <formula>"Closed"</formula>
    </cfRule>
  </conditionalFormatting>
  <dataValidations count="5">
    <dataValidation allowBlank="true" error="Please select a value from the list (toolkit controlled vocabulary)." errorStyle="stop" errorTitle="Invalid entry" operator="between" showDropDown="false" showErrorMessage="true" showInputMessage="false" sqref="E5:E64" type="list">
      <formula1>Lists!$A$2:$A$8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G5:G64" type="list">
      <formula1>Lists!$B$2:$B$5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J5:J64" type="list">
      <formula1>Lists!$C$2:$C$8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K5:K64" type="list">
      <formula1>Lists!$D$2:$D$4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64" type="list">
      <formula1>Lists!$E$2:$E$10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9" t="s">
        <v>111</v>
      </c>
      <c r="B1" s="39" t="s">
        <v>93</v>
      </c>
      <c r="C1" s="39" t="s">
        <v>112</v>
      </c>
      <c r="D1" s="39" t="s">
        <v>113</v>
      </c>
      <c r="E1" s="39" t="s">
        <v>114</v>
      </c>
    </row>
    <row r="2" customFormat="false" ht="15" hidden="false" customHeight="false" outlineLevel="0" collapsed="false">
      <c r="A2" s="0" t="s">
        <v>106</v>
      </c>
      <c r="B2" s="0" t="s">
        <v>115</v>
      </c>
      <c r="C2" s="0" t="s">
        <v>116</v>
      </c>
      <c r="D2" s="0" t="s">
        <v>31</v>
      </c>
      <c r="E2" s="0" t="s">
        <v>72</v>
      </c>
    </row>
    <row r="3" customFormat="false" ht="15" hidden="false" customHeight="false" outlineLevel="0" collapsed="false">
      <c r="A3" s="0" t="s">
        <v>117</v>
      </c>
      <c r="B3" s="0" t="s">
        <v>118</v>
      </c>
      <c r="C3" s="0" t="s">
        <v>106</v>
      </c>
      <c r="D3" s="0" t="s">
        <v>110</v>
      </c>
      <c r="E3" s="0" t="s">
        <v>74</v>
      </c>
    </row>
    <row r="4" customFormat="false" ht="15" hidden="false" customHeight="false" outlineLevel="0" collapsed="false">
      <c r="A4" s="0" t="s">
        <v>119</v>
      </c>
      <c r="B4" s="0" t="s">
        <v>108</v>
      </c>
      <c r="C4" s="0" t="s">
        <v>117</v>
      </c>
      <c r="D4" s="0" t="s">
        <v>120</v>
      </c>
      <c r="E4" s="0" t="s">
        <v>76</v>
      </c>
    </row>
    <row r="5" customFormat="false" ht="15" hidden="false" customHeight="false" outlineLevel="0" collapsed="false">
      <c r="A5" s="0" t="s">
        <v>121</v>
      </c>
      <c r="B5" s="0" t="s">
        <v>122</v>
      </c>
      <c r="C5" s="0" t="s">
        <v>119</v>
      </c>
      <c r="E5" s="0" t="s">
        <v>78</v>
      </c>
    </row>
    <row r="6" customFormat="false" ht="15" hidden="false" customHeight="false" outlineLevel="0" collapsed="false">
      <c r="A6" s="0" t="s">
        <v>123</v>
      </c>
      <c r="C6" s="0" t="s">
        <v>124</v>
      </c>
      <c r="E6" s="0" t="s">
        <v>80</v>
      </c>
    </row>
    <row r="7" customFormat="false" ht="15" hidden="false" customHeight="false" outlineLevel="0" collapsed="false">
      <c r="A7" s="0" t="s">
        <v>125</v>
      </c>
      <c r="C7" s="0" t="s">
        <v>126</v>
      </c>
      <c r="E7" s="0" t="s">
        <v>81</v>
      </c>
    </row>
    <row r="8" customFormat="false" ht="15" hidden="false" customHeight="false" outlineLevel="0" collapsed="false">
      <c r="A8" s="0" t="s">
        <v>127</v>
      </c>
      <c r="C8" s="0" t="s">
        <v>109</v>
      </c>
      <c r="E8" s="0" t="s">
        <v>82</v>
      </c>
    </row>
    <row r="9" customFormat="false" ht="15" hidden="false" customHeight="false" outlineLevel="0" collapsed="false">
      <c r="E9" s="0" t="s">
        <v>83</v>
      </c>
    </row>
    <row r="10" customFormat="false" ht="15" hidden="false" customHeight="false" outlineLevel="0" collapsed="false">
      <c r="E10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2026-10-28T04:09:02Z</dcterms:created>
  <dc:creator>[Project Manager]</dc:creator>
  <dc:description/>
  <cp:keywords>PRJ-2026-001-CHL PMBOK 8</cp:keywords>
  <dc:language>en-US</dc:language>
  <cp:lastModifiedBy/>
  <dcterms:modified xsi:type="dcterms:W3CDTF">2026-10-28T04:09:03Z</dcterms:modified>
  <cp:revision>0</cp:revision>
  <dc:subject>[Project Name]</dc:subject>
  <dc:title>21 - Change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